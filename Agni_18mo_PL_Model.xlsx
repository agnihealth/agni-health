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-Month Model" sheetId="1" state="visible" r:id="rId1"/>
    <sheet name="Assumptions &amp; Methodology" sheetId="2" state="visible" r:id="rId2"/>
    <sheet name="Key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&quot;$&quot;#,##0"/>
    <numFmt numFmtId="166" formatCode="&quot;$&quot;#,##0.00"/>
  </numFmts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AAAAAA"/>
      <sz val="9"/>
    </font>
    <font>
      <b val="1"/>
      <color rgb="00FFFFFF"/>
      <sz val="10"/>
    </font>
    <font>
      <color rgb="00000000"/>
      <sz val="10"/>
    </font>
    <font>
      <b val="1"/>
      <sz val="10"/>
    </font>
    <font>
      <b val="1"/>
      <color rgb="00FFFFFF"/>
      <sz val="13"/>
    </font>
    <font>
      <b val="1"/>
      <color rgb="00d4a088"/>
      <sz val="10"/>
    </font>
    <font>
      <b val="1"/>
      <color rgb="000a1628"/>
      <sz val="10"/>
    </font>
    <font>
      <b val="1"/>
      <color rgb="00156235"/>
      <sz val="10"/>
    </font>
  </fonts>
  <fills count="7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d1c3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1a2d4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20" customWidth="1" min="7" max="7"/>
    <col width="16" customWidth="1" min="8" max="8"/>
    <col width="18" customWidth="1" min="9" max="9"/>
    <col width="20" customWidth="1" min="10" max="10"/>
  </cols>
  <sheetData>
    <row r="1" ht="30" customHeight="1">
      <c r="A1" s="1" t="inlineStr">
        <is>
          <t>Agni Health — 18-Month P&amp;L &amp; Physician Hours Model</t>
        </is>
      </c>
    </row>
    <row r="2" ht="18" customHeight="1">
      <c r="A2" s="2" t="inlineStr">
        <is>
          <t>Assumptions: 5 new clients/week · 60% Essential / 40% Intensive · 3% monthly churn · ESS=0.5 hr/client/mo · INT=1.5 hr/client/mo</t>
        </is>
      </c>
    </row>
    <row r="3" ht="36" customHeight="1">
      <c r="A3" s="3" t="inlineStr">
        <is>
          <t>Month</t>
        </is>
      </c>
      <c r="B3" s="3" t="inlineStr">
        <is>
          <t>New Essential</t>
        </is>
      </c>
      <c r="C3" s="3" t="inlineStr">
        <is>
          <t>New Intensive</t>
        </is>
      </c>
      <c r="D3" s="3" t="inlineStr">
        <is>
          <t>Churn (total)</t>
        </is>
      </c>
      <c r="E3" s="3" t="inlineStr">
        <is>
          <t>Active Essential</t>
        </is>
      </c>
      <c r="F3" s="3" t="inlineStr">
        <is>
          <t>Active Intensive</t>
        </is>
      </c>
      <c r="G3" s="3" t="inlineStr">
        <is>
          <t>Total Active Clients</t>
        </is>
      </c>
      <c r="H3" s="3" t="inlineStr">
        <is>
          <t>MRR ($)</t>
        </is>
      </c>
      <c r="I3" s="3" t="inlineStr">
        <is>
          <t>Physician Hrs/Mo</t>
        </is>
      </c>
      <c r="J3" s="3" t="inlineStr">
        <is>
          <t>Rev / Physician Hr</t>
        </is>
      </c>
    </row>
    <row r="4">
      <c r="A4" s="4" t="n">
        <v>1</v>
      </c>
      <c r="B4" s="5" t="n">
        <v>13</v>
      </c>
      <c r="C4" s="5" t="n">
        <v>8.666666666666668</v>
      </c>
      <c r="D4" s="5" t="n">
        <v>0</v>
      </c>
      <c r="E4" s="5" t="n">
        <v>13</v>
      </c>
      <c r="F4" s="5" t="n">
        <v>8.666666666666668</v>
      </c>
      <c r="G4" s="6" t="n">
        <v>21.66666666666667</v>
      </c>
      <c r="H4" s="7" t="n">
        <v>9100</v>
      </c>
      <c r="I4" s="5" t="n">
        <v>19.5</v>
      </c>
      <c r="J4" s="8" t="n">
        <v>466.6666666666667</v>
      </c>
    </row>
    <row r="5">
      <c r="A5" s="9" t="n">
        <v>2</v>
      </c>
      <c r="B5" s="10" t="n">
        <v>13</v>
      </c>
      <c r="C5" s="10" t="n">
        <v>8.666666666666668</v>
      </c>
      <c r="D5" s="10" t="n">
        <v>0.65</v>
      </c>
      <c r="E5" s="10" t="n">
        <v>25.61</v>
      </c>
      <c r="F5" s="10" t="n">
        <v>17.07333333333334</v>
      </c>
      <c r="G5" s="11" t="n">
        <v>42.68333333333334</v>
      </c>
      <c r="H5" s="12" t="n">
        <v>17927</v>
      </c>
      <c r="I5" s="10" t="n">
        <v>38.41500000000001</v>
      </c>
      <c r="J5" s="13" t="n">
        <v>466.6666666666666</v>
      </c>
    </row>
    <row r="6">
      <c r="A6" s="4" t="n">
        <v>3</v>
      </c>
      <c r="B6" s="5" t="n">
        <v>13</v>
      </c>
      <c r="C6" s="5" t="n">
        <v>8.666666666666668</v>
      </c>
      <c r="D6" s="5" t="n">
        <v>1.2805</v>
      </c>
      <c r="E6" s="5" t="n">
        <v>37.8417</v>
      </c>
      <c r="F6" s="5" t="n">
        <v>25.22780000000001</v>
      </c>
      <c r="G6" s="6" t="n">
        <v>63.06950000000001</v>
      </c>
      <c r="H6" s="7" t="n">
        <v>26489.19</v>
      </c>
      <c r="I6" s="5" t="n">
        <v>56.76255000000001</v>
      </c>
      <c r="J6" s="8" t="n">
        <v>466.6666666666666</v>
      </c>
    </row>
    <row r="7">
      <c r="A7" s="9" t="n">
        <v>4</v>
      </c>
      <c r="B7" s="10" t="n">
        <v>13</v>
      </c>
      <c r="C7" s="10" t="n">
        <v>8.666666666666668</v>
      </c>
      <c r="D7" s="10" t="n">
        <v>1.892085</v>
      </c>
      <c r="E7" s="10" t="n">
        <v>49.70644900000001</v>
      </c>
      <c r="F7" s="10" t="n">
        <v>33.13763266666668</v>
      </c>
      <c r="G7" s="11" t="n">
        <v>82.84408166666668</v>
      </c>
      <c r="H7" s="12" t="n">
        <v>34794.51430000001</v>
      </c>
      <c r="I7" s="10" t="n">
        <v>74.55967350000002</v>
      </c>
      <c r="J7" s="13" t="n">
        <v>466.6666666666667</v>
      </c>
    </row>
    <row r="8">
      <c r="A8" s="4" t="n">
        <v>5</v>
      </c>
      <c r="B8" s="5" t="n">
        <v>13</v>
      </c>
      <c r="C8" s="5" t="n">
        <v>8.666666666666668</v>
      </c>
      <c r="D8" s="5" t="n">
        <v>2.48532245</v>
      </c>
      <c r="E8" s="5" t="n">
        <v>61.21525553000001</v>
      </c>
      <c r="F8" s="5" t="n">
        <v>40.81017035333335</v>
      </c>
      <c r="G8" s="6" t="n">
        <v>102.0254258833334</v>
      </c>
      <c r="H8" s="7" t="n">
        <v>42850.67887100001</v>
      </c>
      <c r="I8" s="5" t="n">
        <v>91.82288329500003</v>
      </c>
      <c r="J8" s="8" t="n">
        <v>466.6666666666667</v>
      </c>
    </row>
    <row r="9">
      <c r="A9" s="9" t="n">
        <v>6</v>
      </c>
      <c r="B9" s="10" t="n">
        <v>13</v>
      </c>
      <c r="C9" s="10" t="n">
        <v>8.666666666666668</v>
      </c>
      <c r="D9" s="10" t="n">
        <v>3.060762776500001</v>
      </c>
      <c r="E9" s="10" t="n">
        <v>72.37879786410001</v>
      </c>
      <c r="F9" s="10" t="n">
        <v>48.25253190940002</v>
      </c>
      <c r="G9" s="11" t="n">
        <v>120.6313297735</v>
      </c>
      <c r="H9" s="12" t="n">
        <v>50665.15850487001</v>
      </c>
      <c r="I9" s="10" t="n">
        <v>108.56819679615</v>
      </c>
      <c r="J9" s="13" t="n">
        <v>466.6666666666666</v>
      </c>
    </row>
    <row r="10">
      <c r="A10" s="4" t="n">
        <v>7</v>
      </c>
      <c r="B10" s="5" t="n">
        <v>13</v>
      </c>
      <c r="C10" s="5" t="n">
        <v>8.666666666666668</v>
      </c>
      <c r="D10" s="5" t="n">
        <v>3.618939893205001</v>
      </c>
      <c r="E10" s="5" t="n">
        <v>83.20743392817701</v>
      </c>
      <c r="F10" s="5" t="n">
        <v>55.47162261878469</v>
      </c>
      <c r="G10" s="6" t="n">
        <v>138.6790565469617</v>
      </c>
      <c r="H10" s="7" t="n">
        <v>58245.20374972392</v>
      </c>
      <c r="I10" s="5" t="n">
        <v>124.8111508922655</v>
      </c>
      <c r="J10" s="8" t="n">
        <v>466.6666666666667</v>
      </c>
    </row>
    <row r="11">
      <c r="A11" s="9" t="n">
        <v>8</v>
      </c>
      <c r="B11" s="10" t="n">
        <v>13</v>
      </c>
      <c r="C11" s="10" t="n">
        <v>8.666666666666668</v>
      </c>
      <c r="D11" s="10" t="n">
        <v>4.160371696408851</v>
      </c>
      <c r="E11" s="10" t="n">
        <v>93.7112109103317</v>
      </c>
      <c r="F11" s="10" t="n">
        <v>62.47414060688781</v>
      </c>
      <c r="G11" s="11" t="n">
        <v>156.1853515172195</v>
      </c>
      <c r="H11" s="12" t="n">
        <v>65597.84763723219</v>
      </c>
      <c r="I11" s="10" t="n">
        <v>140.5668163654976</v>
      </c>
      <c r="J11" s="13" t="n">
        <v>466.6666666666666</v>
      </c>
    </row>
    <row r="12">
      <c r="A12" s="4" t="n">
        <v>9</v>
      </c>
      <c r="B12" s="5" t="n">
        <v>13</v>
      </c>
      <c r="C12" s="5" t="n">
        <v>8.666666666666668</v>
      </c>
      <c r="D12" s="5" t="n">
        <v>4.685560545516585</v>
      </c>
      <c r="E12" s="5" t="n">
        <v>103.8998745830218</v>
      </c>
      <c r="F12" s="5" t="n">
        <v>69.26658305534785</v>
      </c>
      <c r="G12" s="6" t="n">
        <v>173.1664576383696</v>
      </c>
      <c r="H12" s="7" t="n">
        <v>72729.91220811525</v>
      </c>
      <c r="I12" s="5" t="n">
        <v>155.8498118745327</v>
      </c>
      <c r="J12" s="8" t="n">
        <v>466.6666666666667</v>
      </c>
    </row>
    <row r="13">
      <c r="A13" s="9" t="n">
        <v>10</v>
      </c>
      <c r="B13" s="10" t="n">
        <v>13</v>
      </c>
      <c r="C13" s="10" t="n">
        <v>8.666666666666668</v>
      </c>
      <c r="D13" s="10" t="n">
        <v>5.194993729151088</v>
      </c>
      <c r="E13" s="10" t="n">
        <v>113.7828783455311</v>
      </c>
      <c r="F13" s="10" t="n">
        <v>75.85525223035408</v>
      </c>
      <c r="G13" s="11" t="n">
        <v>189.6381305758852</v>
      </c>
      <c r="H13" s="12" t="n">
        <v>79648.01484187177</v>
      </c>
      <c r="I13" s="10" t="n">
        <v>170.6743175182967</v>
      </c>
      <c r="J13" s="13" t="n">
        <v>466.6666666666666</v>
      </c>
    </row>
    <row r="14">
      <c r="A14" s="4" t="n">
        <v>11</v>
      </c>
      <c r="B14" s="5" t="n">
        <v>13</v>
      </c>
      <c r="C14" s="5" t="n">
        <v>8.666666666666668</v>
      </c>
      <c r="D14" s="5" t="n">
        <v>5.689143917276555</v>
      </c>
      <c r="E14" s="5" t="n">
        <v>123.3693919951652</v>
      </c>
      <c r="F14" s="5" t="n">
        <v>82.24626133011013</v>
      </c>
      <c r="G14" s="6" t="n">
        <v>205.6156533252753</v>
      </c>
      <c r="H14" s="7" t="n">
        <v>86358.57439661563</v>
      </c>
      <c r="I14" s="5" t="n">
        <v>185.0540879927478</v>
      </c>
      <c r="J14" s="8" t="n">
        <v>466.6666666666666</v>
      </c>
    </row>
    <row r="15">
      <c r="A15" s="9" t="n">
        <v>12</v>
      </c>
      <c r="B15" s="10" t="n">
        <v>13</v>
      </c>
      <c r="C15" s="10" t="n">
        <v>8.666666666666668</v>
      </c>
      <c r="D15" s="10" t="n">
        <v>6.168469599758259</v>
      </c>
      <c r="E15" s="10" t="n">
        <v>132.6683102353102</v>
      </c>
      <c r="F15" s="10" t="n">
        <v>88.44554015687349</v>
      </c>
      <c r="G15" s="11" t="n">
        <v>221.1138503921837</v>
      </c>
      <c r="H15" s="12" t="n">
        <v>92867.81716471715</v>
      </c>
      <c r="I15" s="10" t="n">
        <v>199.0024653529653</v>
      </c>
      <c r="J15" s="13" t="n">
        <v>466.6666666666666</v>
      </c>
    </row>
    <row r="16">
      <c r="A16" s="4" t="n">
        <v>13</v>
      </c>
      <c r="B16" s="5" t="n">
        <v>13</v>
      </c>
      <c r="C16" s="5" t="n">
        <v>8.666666666666668</v>
      </c>
      <c r="D16" s="5" t="n">
        <v>6.633415511765511</v>
      </c>
      <c r="E16" s="5" t="n">
        <v>141.6882609282509</v>
      </c>
      <c r="F16" s="5" t="n">
        <v>94.45884061883396</v>
      </c>
      <c r="G16" s="6" t="n">
        <v>236.1471015470849</v>
      </c>
      <c r="H16" s="7" t="n">
        <v>99181.78264977565</v>
      </c>
      <c r="I16" s="5" t="n">
        <v>212.5323913923764</v>
      </c>
      <c r="J16" s="8" t="n">
        <v>466.6666666666667</v>
      </c>
    </row>
    <row r="17">
      <c r="A17" s="9" t="n">
        <v>14</v>
      </c>
      <c r="B17" s="10" t="n">
        <v>13</v>
      </c>
      <c r="C17" s="10" t="n">
        <v>8.666666666666668</v>
      </c>
      <c r="D17" s="10" t="n">
        <v>7.084413046412546</v>
      </c>
      <c r="E17" s="10" t="n">
        <v>150.4376131004034</v>
      </c>
      <c r="F17" s="10" t="n">
        <v>100.2917420669356</v>
      </c>
      <c r="G17" s="11" t="n">
        <v>250.729355167339</v>
      </c>
      <c r="H17" s="12" t="n">
        <v>105306.3291702824</v>
      </c>
      <c r="I17" s="10" t="n">
        <v>225.6564196506051</v>
      </c>
      <c r="J17" s="13" t="n">
        <v>466.6666666666666</v>
      </c>
    </row>
    <row r="18">
      <c r="A18" s="4" t="n">
        <v>15</v>
      </c>
      <c r="B18" s="5" t="n">
        <v>13</v>
      </c>
      <c r="C18" s="5" t="n">
        <v>8.666666666666668</v>
      </c>
      <c r="D18" s="5" t="n">
        <v>7.521880655020169</v>
      </c>
      <c r="E18" s="5" t="n">
        <v>158.9244847073913</v>
      </c>
      <c r="F18" s="5" t="n">
        <v>105.9496564715942</v>
      </c>
      <c r="G18" s="6" t="n">
        <v>264.8741411789855</v>
      </c>
      <c r="H18" s="7" t="n">
        <v>111247.1392951739</v>
      </c>
      <c r="I18" s="5" t="n">
        <v>238.386727061087</v>
      </c>
      <c r="J18" s="8" t="n">
        <v>466.6666666666666</v>
      </c>
    </row>
    <row r="19">
      <c r="A19" s="9" t="n">
        <v>16</v>
      </c>
      <c r="B19" s="10" t="n">
        <v>13</v>
      </c>
      <c r="C19" s="10" t="n">
        <v>8.666666666666668</v>
      </c>
      <c r="D19" s="10" t="n">
        <v>7.946224235369565</v>
      </c>
      <c r="E19" s="10" t="n">
        <v>167.1567501661696</v>
      </c>
      <c r="F19" s="10" t="n">
        <v>111.4378334441131</v>
      </c>
      <c r="G19" s="11" t="n">
        <v>278.5945836102826</v>
      </c>
      <c r="H19" s="12" t="n">
        <v>117009.7251163187</v>
      </c>
      <c r="I19" s="10" t="n">
        <v>250.7351252492544</v>
      </c>
      <c r="J19" s="13" t="n">
        <v>466.6666666666667</v>
      </c>
    </row>
    <row r="20">
      <c r="A20" s="4" t="n">
        <v>17</v>
      </c>
      <c r="B20" s="5" t="n">
        <v>13</v>
      </c>
      <c r="C20" s="5" t="n">
        <v>8.666666666666668</v>
      </c>
      <c r="D20" s="5" t="n">
        <v>8.357837508308478</v>
      </c>
      <c r="E20" s="5" t="n">
        <v>175.1420476611845</v>
      </c>
      <c r="F20" s="5" t="n">
        <v>116.7613651074563</v>
      </c>
      <c r="G20" s="6" t="n">
        <v>291.9034127686408</v>
      </c>
      <c r="H20" s="7" t="n">
        <v>122599.4333628291</v>
      </c>
      <c r="I20" s="5" t="n">
        <v>262.7130714917768</v>
      </c>
      <c r="J20" s="8" t="n">
        <v>466.6666666666666</v>
      </c>
    </row>
    <row r="21">
      <c r="A21" s="9" t="n">
        <v>18</v>
      </c>
      <c r="B21" s="10" t="n">
        <v>13</v>
      </c>
      <c r="C21" s="10" t="n">
        <v>8.666666666666668</v>
      </c>
      <c r="D21" s="10" t="n">
        <v>8.757102383059223</v>
      </c>
      <c r="E21" s="10" t="n">
        <v>182.8877862313489</v>
      </c>
      <c r="F21" s="10" t="n">
        <v>121.9251908208993</v>
      </c>
      <c r="G21" s="11" t="n">
        <v>304.8129770522482</v>
      </c>
      <c r="H21" s="12" t="n">
        <v>128021.4503619443</v>
      </c>
      <c r="I21" s="10" t="n">
        <v>274.3316793470235</v>
      </c>
      <c r="J21" s="13" t="n">
        <v>466.6666666666666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0" customWidth="1" min="3" max="3"/>
  </cols>
  <sheetData>
    <row r="1" ht="28" customHeight="1">
      <c r="A1" s="14" t="inlineStr">
        <is>
          <t>Model Assumptions &amp; Methodology</t>
        </is>
      </c>
    </row>
    <row r="2">
      <c r="A2" s="15" t="inlineStr">
        <is>
          <t>Category</t>
        </is>
      </c>
      <c r="B2" s="15" t="inlineStr">
        <is>
          <t>Value</t>
        </is>
      </c>
      <c r="C2" s="15" t="inlineStr">
        <is>
          <t>Notes</t>
        </is>
      </c>
    </row>
    <row r="3">
      <c r="A3" s="16" t="inlineStr">
        <is>
          <t>── PRICING ──</t>
        </is>
      </c>
      <c r="B3" s="16" t="inlineStr"/>
      <c r="C3" s="16" t="inlineStr"/>
    </row>
    <row r="4">
      <c r="A4" s="17" t="inlineStr">
        <is>
          <t>Essential tier price</t>
        </is>
      </c>
      <c r="B4" s="18" t="inlineStr">
        <is>
          <t>$300/mo</t>
        </is>
      </c>
      <c r="C4" s="18" t="inlineStr">
        <is>
          <t>Quarterly 20-min visits, 48-hr async</t>
        </is>
      </c>
    </row>
    <row r="5">
      <c r="A5" s="19" t="inlineStr">
        <is>
          <t>Intensive tier price</t>
        </is>
      </c>
      <c r="B5" s="20" t="inlineStr">
        <is>
          <t>$600/mo</t>
        </is>
      </c>
      <c r="C5" s="20" t="inlineStr">
        <is>
          <t>Monthly 20-min visits, 24-hr async, CGM</t>
        </is>
      </c>
    </row>
    <row r="6">
      <c r="A6" s="17" t="inlineStr">
        <is>
          <t>Blended ARPU</t>
        </is>
      </c>
      <c r="B6" s="18" t="inlineStr">
        <is>
          <t>$420/mo</t>
        </is>
      </c>
      <c r="C6" s="18" t="inlineStr">
        <is>
          <t>60/40 weighted average</t>
        </is>
      </c>
    </row>
    <row r="7">
      <c r="A7" s="16" t="inlineStr">
        <is>
          <t>── GROWTH ──</t>
        </is>
      </c>
      <c r="B7" s="16" t="inlineStr"/>
      <c r="C7" s="16" t="inlineStr"/>
    </row>
    <row r="8">
      <c r="A8" s="17" t="inlineStr">
        <is>
          <t>New clients per week</t>
        </is>
      </c>
      <c r="B8" s="18" t="inlineStr">
        <is>
          <t>5</t>
        </is>
      </c>
      <c r="C8" s="18" t="inlineStr">
        <is>
          <t>Per task specification</t>
        </is>
      </c>
    </row>
    <row r="9">
      <c r="A9" s="19" t="inlineStr">
        <is>
          <t>New clients per month</t>
        </is>
      </c>
      <c r="B9" s="20" t="inlineStr">
        <is>
          <t>~21.7</t>
        </is>
      </c>
      <c r="C9" s="20" t="inlineStr">
        <is>
          <t>5 × 52 / 12</t>
        </is>
      </c>
    </row>
    <row r="10">
      <c r="A10" s="17" t="inlineStr">
        <is>
          <t>Essential tier share</t>
        </is>
      </c>
      <c r="B10" s="18" t="inlineStr">
        <is>
          <t>60%</t>
        </is>
      </c>
      <c r="C10" s="18" t="inlineStr">
        <is>
          <t>Assumed; lower-commitment segment</t>
        </is>
      </c>
    </row>
    <row r="11">
      <c r="A11" s="19" t="inlineStr">
        <is>
          <t>Intensive tier share</t>
        </is>
      </c>
      <c r="B11" s="20" t="inlineStr">
        <is>
          <t>40%</t>
        </is>
      </c>
      <c r="C11" s="20" t="inlineStr">
        <is>
          <t>Assumed; higher-engagement segment</t>
        </is>
      </c>
    </row>
    <row r="12">
      <c r="A12" s="16" t="inlineStr">
        <is>
          <t>── RETENTION ──</t>
        </is>
      </c>
      <c r="B12" s="16" t="inlineStr"/>
      <c r="C12" s="16" t="inlineStr"/>
    </row>
    <row r="13">
      <c r="A13" s="19" t="inlineStr">
        <is>
          <t>Monthly churn rate</t>
        </is>
      </c>
      <c r="B13" s="20" t="inlineStr">
        <is>
          <t>3%</t>
        </is>
      </c>
      <c r="C13" s="20" t="inlineStr">
        <is>
          <t>Conservative for DPC/concierge medicine; typical 2-5%</t>
        </is>
      </c>
    </row>
    <row r="14">
      <c r="A14" s="17" t="inlineStr">
        <is>
          <t>Avg months retained</t>
        </is>
      </c>
      <c r="B14" s="18" t="inlineStr">
        <is>
          <t>~33 months</t>
        </is>
      </c>
      <c r="C14" s="18">
        <f> 1 / churn rate</f>
        <v/>
      </c>
    </row>
    <row r="15">
      <c r="A15" s="19" t="inlineStr">
        <is>
          <t>LTV (blended)</t>
        </is>
      </c>
      <c r="B15" s="20" t="inlineStr">
        <is>
          <t>$14,000</t>
        </is>
      </c>
      <c r="C15" s="20" t="inlineStr">
        <is>
          <t>ARPU × avg tenure</t>
        </is>
      </c>
    </row>
    <row r="16">
      <c r="A16" s="17" t="inlineStr">
        <is>
          <t>Steady-state clients</t>
        </is>
      </c>
      <c r="B16" s="18" t="inlineStr">
        <is>
          <t>~722</t>
        </is>
      </c>
      <c r="C16" s="18">
        <f> monthly new / churn rate (reached ~Mo 30-35)</f>
        <v/>
      </c>
    </row>
    <row r="17">
      <c r="A17" s="16" t="inlineStr">
        <is>
          <t>── PHYSICIAN HOURS ──</t>
        </is>
      </c>
      <c r="B17" s="16" t="inlineStr"/>
      <c r="C17" s="16" t="inlineStr"/>
    </row>
    <row r="18">
      <c r="A18" s="17" t="inlineStr">
        <is>
          <t>Essential: hours/client/mo</t>
        </is>
      </c>
      <c r="B18" s="18" t="inlineStr">
        <is>
          <t>0.5 hr</t>
        </is>
      </c>
      <c r="C18" s="18" t="inlineStr">
        <is>
          <t>~30 min: visit (6.7min Q) + chart + 2 async threads + labs</t>
        </is>
      </c>
    </row>
    <row r="19">
      <c r="A19" s="19" t="inlineStr">
        <is>
          <t>Intensive: hours/client/mo</t>
        </is>
      </c>
      <c r="B19" s="20" t="inlineStr">
        <is>
          <t>1.5 hr</t>
        </is>
      </c>
      <c r="C19" s="20" t="inlineStr">
        <is>
          <t>~90 min: monthly visit + chart + 4 async + CGM + deep-dive amort.</t>
        </is>
      </c>
    </row>
    <row r="20">
      <c r="A20" s="17" t="inlineStr">
        <is>
          <t>Physician FTE capacity</t>
        </is>
      </c>
      <c r="B20" s="18" t="inlineStr">
        <is>
          <t>160 hr/mo</t>
        </is>
      </c>
      <c r="C20" s="18" t="inlineStr">
        <is>
          <t>Standard full-time at 1 FTE; or ~80-100 hr clinical for part-time</t>
        </is>
      </c>
    </row>
    <row r="21">
      <c r="A21" s="16" t="inlineStr">
        <is>
          <t>── KEY NOTES ──</t>
        </is>
      </c>
      <c r="B21" s="16" t="inlineStr"/>
      <c r="C21" s="16" t="inlineStr"/>
    </row>
    <row r="22">
      <c r="A22" s="17" t="inlineStr">
        <is>
          <t>Executive tier</t>
        </is>
      </c>
      <c r="B22" s="18" t="inlineStr">
        <is>
          <t>Not modeled</t>
        </is>
      </c>
      <c r="C22" s="18" t="inlineStr">
        <is>
          <t>On waitlist; excluded from this model</t>
        </is>
      </c>
    </row>
    <row r="23">
      <c r="A23" s="19" t="inlineStr">
        <is>
          <t>Initial consultation revenue</t>
        </is>
      </c>
      <c r="B23" s="20" t="inlineStr">
        <is>
          <t>Not modeled</t>
        </is>
      </c>
      <c r="C23" s="20" t="inlineStr">
        <is>
          <t>$350 one-time; not MRR</t>
        </is>
      </c>
    </row>
    <row r="24">
      <c r="A24" s="17" t="inlineStr">
        <is>
          <t>Lab costs</t>
        </is>
      </c>
      <c r="B24" s="18" t="inlineStr">
        <is>
          <t>Not modeled</t>
        </is>
      </c>
      <c r="C24" s="18" t="inlineStr">
        <is>
          <t>Separate billing, does not affect MRR</t>
        </is>
      </c>
    </row>
    <row r="25">
      <c r="A25" s="19" t="inlineStr">
        <is>
          <t>GLP-1/Rx revenue</t>
        </is>
      </c>
      <c r="B25" s="20" t="inlineStr">
        <is>
          <t>Not modeled</t>
        </is>
      </c>
      <c r="C25" s="20" t="inlineStr">
        <is>
          <t>Pharmacy-direct, pass-through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4" t="inlineStr">
        <is>
          <t>Key Business Milestones</t>
        </is>
      </c>
    </row>
    <row r="2">
      <c r="A2" s="15" t="inlineStr">
        <is>
          <t>Milestone</t>
        </is>
      </c>
      <c r="B2" s="15" t="inlineStr">
        <is>
          <t>Month</t>
        </is>
      </c>
      <c r="C2" s="15" t="inlineStr">
        <is>
          <t>Value</t>
        </is>
      </c>
      <c r="D2" s="15" t="inlineStr">
        <is>
          <t>Notes</t>
        </is>
      </c>
    </row>
    <row r="3">
      <c r="A3" s="19" t="inlineStr">
        <is>
          <t>First paying clients</t>
        </is>
      </c>
      <c r="B3" s="21" t="inlineStr">
        <is>
          <t>1</t>
        </is>
      </c>
      <c r="C3" s="22" t="inlineStr">
        <is>
          <t>22 clients</t>
        </is>
      </c>
      <c r="D3" s="21" t="inlineStr"/>
    </row>
    <row r="4">
      <c r="A4" s="17" t="inlineStr">
        <is>
          <t>MRR crosses $10K</t>
        </is>
      </c>
      <c r="B4" s="23" t="inlineStr">
        <is>
          <t>2</t>
        </is>
      </c>
      <c r="C4" s="24" t="inlineStr">
        <is>
          <t>$10,000/mo</t>
        </is>
      </c>
      <c r="D4" s="23" t="inlineStr"/>
    </row>
    <row r="5">
      <c r="A5" s="19" t="inlineStr">
        <is>
          <t>MRR crosses $25K</t>
        </is>
      </c>
      <c r="B5" s="21" t="inlineStr">
        <is>
          <t>3</t>
        </is>
      </c>
      <c r="C5" s="25" t="inlineStr">
        <is>
          <t>$25,000/mo</t>
        </is>
      </c>
      <c r="D5" s="21" t="inlineStr"/>
    </row>
    <row r="6">
      <c r="A6" s="17" t="inlineStr">
        <is>
          <t>MRR crosses $50K</t>
        </is>
      </c>
      <c r="B6" s="23" t="inlineStr">
        <is>
          <t>6</t>
        </is>
      </c>
      <c r="C6" s="24" t="inlineStr">
        <is>
          <t>$50,000/mo</t>
        </is>
      </c>
      <c r="D6" s="23" t="inlineStr"/>
    </row>
    <row r="7">
      <c r="A7" s="19" t="inlineStr">
        <is>
          <t>Clients at Month 6</t>
        </is>
      </c>
      <c r="B7" s="21" t="inlineStr">
        <is>
          <t>6</t>
        </is>
      </c>
      <c r="C7" s="22" t="inlineStr">
        <is>
          <t>121</t>
        </is>
      </c>
      <c r="D7" s="21" t="inlineStr">
        <is>
          <t>MRR $50,665</t>
        </is>
      </c>
    </row>
    <row r="8">
      <c r="A8" s="17" t="inlineStr">
        <is>
          <t>Clients at Month 12</t>
        </is>
      </c>
      <c r="B8" s="23" t="inlineStr">
        <is>
          <t>12</t>
        </is>
      </c>
      <c r="C8" s="26" t="inlineStr">
        <is>
          <t>221</t>
        </is>
      </c>
      <c r="D8" s="23" t="inlineStr">
        <is>
          <t>MRR $92,868</t>
        </is>
      </c>
    </row>
    <row r="9">
      <c r="A9" s="19" t="inlineStr">
        <is>
          <t>Clients at Month 18</t>
        </is>
      </c>
      <c r="B9" s="21" t="inlineStr">
        <is>
          <t>18</t>
        </is>
      </c>
      <c r="C9" s="22" t="inlineStr">
        <is>
          <t>305</t>
        </is>
      </c>
      <c r="D9" s="21" t="inlineStr">
        <is>
          <t>MRR $128,021</t>
        </is>
      </c>
    </row>
    <row r="10">
      <c r="A10" s="17" t="inlineStr">
        <is>
          <t>Physician hrs needed Mo 12</t>
        </is>
      </c>
      <c r="B10" s="23" t="inlineStr">
        <is>
          <t>12</t>
        </is>
      </c>
      <c r="C10" s="26" t="inlineStr">
        <is>
          <t>199.0 hrs/mo</t>
        </is>
      </c>
      <c r="D10" s="23" t="inlineStr">
        <is>
          <t>1.2 FTE</t>
        </is>
      </c>
    </row>
    <row r="11">
      <c r="A11" s="19" t="inlineStr">
        <is>
          <t>Physician hrs needed Mo 18</t>
        </is>
      </c>
      <c r="B11" s="21" t="inlineStr">
        <is>
          <t>18</t>
        </is>
      </c>
      <c r="C11" s="22" t="inlineStr">
        <is>
          <t>274.3 hrs/mo</t>
        </is>
      </c>
      <c r="D11" s="21" t="inlineStr">
        <is>
          <t>1.7 FTE</t>
        </is>
      </c>
    </row>
    <row r="12">
      <c r="A12" s="17" t="inlineStr">
        <is>
          <t>Mo 18 ARR (annualized)</t>
        </is>
      </c>
      <c r="B12" s="23" t="inlineStr">
        <is>
          <t>18</t>
        </is>
      </c>
      <c r="C12" s="24" t="inlineStr">
        <is>
          <t>$1,536,257</t>
        </is>
      </c>
      <c r="D12" s="23" t="inlineStr">
        <is>
          <t>MRR × 12</t>
        </is>
      </c>
    </row>
    <row r="13">
      <c r="A13" s="19" t="inlineStr">
        <is>
          <t>Rev/physician hr at Mo 18</t>
        </is>
      </c>
      <c r="B13" s="21" t="inlineStr">
        <is>
          <t>18</t>
        </is>
      </c>
      <c r="C13" s="22" t="inlineStr">
        <is>
          <t>$466.67</t>
        </is>
      </c>
      <c r="D13" s="21" t="inlineStr">
        <is>
          <t>High-value per hour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2026-05-06T16:00:25Z</dcterms:created>
  <dcterms:modified xsi:type="dcterms:W3CDTF">2026-05-06T16:00:25Z</dcterms:modified>
</cp:coreProperties>
</file>