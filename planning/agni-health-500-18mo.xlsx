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Model" sheetId="1" state="visible" r:id="rId1"/>
    <sheet name="Summary" sheetId="2" state="visible" r:id="rId2"/>
    <sheet name="Marketing Ram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&quot;$&quot;#,##0"/>
    <numFmt numFmtId="166" formatCode="0.0%"/>
    <numFmt numFmtId="167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sz val="12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3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3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0" fontId="2" fillId="0" borderId="0" pivotButton="0" quotePrefix="0" xfId="0"/>
    <xf numFmtId="3" fontId="2" fillId="0" borderId="1" pivotButton="0" quotePrefix="0" xfId="0"/>
    <xf numFmtId="165" fontId="2" fillId="0" borderId="1" pivotButton="0" quotePrefix="0" xfId="0"/>
    <xf numFmtId="0" fontId="4" fillId="0" borderId="0" pivotButton="0" quotePrefix="0" xfId="0"/>
    <xf numFmtId="0" fontId="3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0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67" fontId="0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10" customWidth="1" min="5" max="5"/>
    <col width="16" customWidth="1" min="6" max="6"/>
    <col width="16" customWidth="1" min="7" max="7"/>
    <col width="12" customWidth="1" min="8" max="8"/>
    <col width="14" customWidth="1" min="9" max="9"/>
    <col width="12" customWidth="1" min="10" max="10"/>
    <col width="14" customWidth="1" min="11" max="11"/>
    <col width="14" customWidth="1" min="12" max="12"/>
    <col width="10" customWidth="1" min="13" max="13"/>
    <col width="12" customWidth="1" min="14" max="14"/>
    <col width="12" customWidth="1" min="15" max="15"/>
    <col width="12" customWidth="1" min="16" max="16"/>
    <col width="14" customWidth="1" min="17" max="17"/>
    <col width="12" customWidth="1" min="18" max="18"/>
    <col width="12" customWidth="1" min="19" max="19"/>
    <col width="14" customWidth="1" min="20" max="20"/>
  </cols>
  <sheetData>
    <row r="1">
      <c r="A1" s="1" t="inlineStr">
        <is>
          <t>Month</t>
        </is>
      </c>
      <c r="B1" s="1" t="inlineStr">
        <is>
          <t>New Patients</t>
        </is>
      </c>
      <c r="C1" s="1" t="inlineStr">
        <is>
          <t>Referral Patients</t>
        </is>
      </c>
      <c r="D1" s="1" t="inlineStr">
        <is>
          <t>Paid Patients</t>
        </is>
      </c>
      <c r="E1" s="1" t="inlineStr">
        <is>
          <t>Churned</t>
        </is>
      </c>
      <c r="F1" s="1" t="inlineStr">
        <is>
          <t>Cumulative Patients</t>
        </is>
      </c>
      <c r="G1" s="1" t="inlineStr">
        <is>
          <t>Hours/Week Required</t>
        </is>
      </c>
      <c r="H1" s="1" t="inlineStr">
        <is>
          <t>Gross MRR</t>
        </is>
      </c>
      <c r="I1" s="1" t="inlineStr">
        <is>
          <t>Processing Fees</t>
        </is>
      </c>
      <c r="J1" s="1" t="inlineStr">
        <is>
          <t>Net MRR</t>
        </is>
      </c>
      <c r="K1" s="1" t="inlineStr">
        <is>
          <t>Initial Consults</t>
        </is>
      </c>
      <c r="L1" s="1" t="inlineStr">
        <is>
          <t>Total Revenue</t>
        </is>
      </c>
      <c r="M1" s="1" t="inlineStr">
        <is>
          <t>CAC Rate</t>
        </is>
      </c>
      <c r="N1" s="1" t="inlineStr">
        <is>
          <t>Paid CAC</t>
        </is>
      </c>
      <c r="O1" s="1" t="inlineStr">
        <is>
          <t>Referral CAC</t>
        </is>
      </c>
      <c r="P1" s="1" t="inlineStr">
        <is>
          <t>Total CAC</t>
        </is>
      </c>
      <c r="Q1" s="1" t="inlineStr">
        <is>
          <t>Operating Costs</t>
        </is>
      </c>
      <c r="R1" s="1" t="inlineStr">
        <is>
          <t>Total Costs</t>
        </is>
      </c>
      <c r="S1" s="1" t="inlineStr">
        <is>
          <t>Net Income</t>
        </is>
      </c>
      <c r="T1" s="1" t="inlineStr">
        <is>
          <t>Cumulative Net</t>
        </is>
      </c>
    </row>
    <row r="2">
      <c r="A2" s="2" t="n">
        <v>1</v>
      </c>
      <c r="B2" s="2" t="n">
        <v>15</v>
      </c>
      <c r="C2" s="2" t="n">
        <v>0</v>
      </c>
      <c r="D2" s="2" t="n">
        <v>15</v>
      </c>
      <c r="E2" s="2" t="n">
        <v>0</v>
      </c>
      <c r="F2" s="2" t="n">
        <v>15</v>
      </c>
      <c r="G2" s="3">
        <f>(B2*0.5/4.33)+((F2-B2)*2.25/52)</f>
        <v/>
      </c>
      <c r="H2" s="4" t="n">
        <v>2872.5</v>
      </c>
      <c r="I2" s="4" t="n">
        <v>83.30250000000001</v>
      </c>
      <c r="J2" s="4" t="n">
        <v>2789.1975</v>
      </c>
      <c r="K2" s="4" t="n">
        <v>4125</v>
      </c>
      <c r="L2" s="4" t="n">
        <v>6914.1975</v>
      </c>
      <c r="M2" s="4" t="n">
        <v>150</v>
      </c>
      <c r="N2" s="4" t="n">
        <v>2250</v>
      </c>
      <c r="O2" s="4" t="n">
        <v>0</v>
      </c>
      <c r="P2" s="4" t="n">
        <v>2250</v>
      </c>
      <c r="Q2" s="4" t="n">
        <v>3166.666666666667</v>
      </c>
      <c r="R2" s="4" t="n">
        <v>5416.666666666666</v>
      </c>
      <c r="S2" s="5" t="n">
        <v>1497.530833333334</v>
      </c>
      <c r="T2" s="4" t="n">
        <v>1497.530833333334</v>
      </c>
    </row>
    <row r="3">
      <c r="A3" s="2" t="n">
        <v>2</v>
      </c>
      <c r="B3" s="2" t="n">
        <v>18</v>
      </c>
      <c r="C3" s="2" t="n">
        <v>0</v>
      </c>
      <c r="D3" s="2" t="n">
        <v>18</v>
      </c>
      <c r="E3" s="2" t="n">
        <v>0</v>
      </c>
      <c r="F3" s="2" t="n">
        <v>33</v>
      </c>
      <c r="G3" s="3">
        <f>(B3*0.5/4.33)+((F3-B3)*2.25/52)</f>
        <v/>
      </c>
      <c r="H3" s="4" t="n">
        <v>6319.5</v>
      </c>
      <c r="I3" s="4" t="n">
        <v>183.2655</v>
      </c>
      <c r="J3" s="4" t="n">
        <v>6136.2345</v>
      </c>
      <c r="K3" s="4" t="n">
        <v>4950</v>
      </c>
      <c r="L3" s="4" t="n">
        <v>11086.2345</v>
      </c>
      <c r="M3" s="4" t="n">
        <v>150</v>
      </c>
      <c r="N3" s="4" t="n">
        <v>2700</v>
      </c>
      <c r="O3" s="4" t="n">
        <v>0</v>
      </c>
      <c r="P3" s="4" t="n">
        <v>2700</v>
      </c>
      <c r="Q3" s="4" t="n">
        <v>3166.666666666667</v>
      </c>
      <c r="R3" s="4" t="n">
        <v>5866.666666666666</v>
      </c>
      <c r="S3" s="5" t="n">
        <v>5219.567833333333</v>
      </c>
      <c r="T3" s="4" t="n">
        <v>6717.098666666667</v>
      </c>
    </row>
    <row r="4">
      <c r="A4" s="2" t="n">
        <v>3</v>
      </c>
      <c r="B4" s="2" t="n">
        <v>22</v>
      </c>
      <c r="C4" s="2" t="n">
        <v>0</v>
      </c>
      <c r="D4" s="2" t="n">
        <v>22</v>
      </c>
      <c r="E4" s="2" t="n">
        <v>0</v>
      </c>
      <c r="F4" s="2" t="n">
        <v>55</v>
      </c>
      <c r="G4" s="3">
        <f>(B4*0.5/4.33)+((F4-B4)*2.25/52)</f>
        <v/>
      </c>
      <c r="H4" s="4" t="n">
        <v>10532.5</v>
      </c>
      <c r="I4" s="4" t="n">
        <v>305.4425</v>
      </c>
      <c r="J4" s="4" t="n">
        <v>10227.0575</v>
      </c>
      <c r="K4" s="4" t="n">
        <v>6050</v>
      </c>
      <c r="L4" s="4" t="n">
        <v>16277.0575</v>
      </c>
      <c r="M4" s="4" t="n">
        <v>150</v>
      </c>
      <c r="N4" s="4" t="n">
        <v>3300</v>
      </c>
      <c r="O4" s="4" t="n">
        <v>0</v>
      </c>
      <c r="P4" s="4" t="n">
        <v>3300</v>
      </c>
      <c r="Q4" s="4" t="n">
        <v>3166.666666666667</v>
      </c>
      <c r="R4" s="4" t="n">
        <v>6466.666666666666</v>
      </c>
      <c r="S4" s="5" t="n">
        <v>9810.390833333335</v>
      </c>
      <c r="T4" s="4" t="n">
        <v>16527.4895</v>
      </c>
    </row>
    <row r="5">
      <c r="A5" s="2" t="n">
        <v>4</v>
      </c>
      <c r="B5" s="2" t="n">
        <v>26</v>
      </c>
      <c r="C5" s="2" t="n">
        <v>0</v>
      </c>
      <c r="D5" s="2" t="n">
        <v>26</v>
      </c>
      <c r="E5" s="2" t="n">
        <v>0</v>
      </c>
      <c r="F5" s="2" t="n">
        <v>81</v>
      </c>
      <c r="G5" s="3">
        <f>(B5*0.5/4.33)+((F5-B5)*2.25/52)</f>
        <v/>
      </c>
      <c r="H5" s="4" t="n">
        <v>15511.5</v>
      </c>
      <c r="I5" s="4" t="n">
        <v>449.8335</v>
      </c>
      <c r="J5" s="4" t="n">
        <v>15061.6665</v>
      </c>
      <c r="K5" s="4" t="n">
        <v>7150</v>
      </c>
      <c r="L5" s="4" t="n">
        <v>22211.6665</v>
      </c>
      <c r="M5" s="4" t="n">
        <v>150</v>
      </c>
      <c r="N5" s="4" t="n">
        <v>3900</v>
      </c>
      <c r="O5" s="4" t="n">
        <v>0</v>
      </c>
      <c r="P5" s="4" t="n">
        <v>3900</v>
      </c>
      <c r="Q5" s="4" t="n">
        <v>3166.666666666667</v>
      </c>
      <c r="R5" s="4" t="n">
        <v>7066.666666666666</v>
      </c>
      <c r="S5" s="5" t="n">
        <v>15144.99983333333</v>
      </c>
      <c r="T5" s="4" t="n">
        <v>31672.48933333334</v>
      </c>
    </row>
    <row r="6">
      <c r="A6" s="2" t="n">
        <v>5</v>
      </c>
      <c r="B6" s="2" t="n">
        <v>29</v>
      </c>
      <c r="C6" s="2" t="n">
        <v>0</v>
      </c>
      <c r="D6" s="2" t="n">
        <v>29</v>
      </c>
      <c r="E6" s="2" t="n">
        <v>0</v>
      </c>
      <c r="F6" s="2" t="n">
        <v>110</v>
      </c>
      <c r="G6" s="3">
        <f>(B6*0.5/4.33)+((F6-B6)*2.25/52)</f>
        <v/>
      </c>
      <c r="H6" s="4" t="n">
        <v>21065</v>
      </c>
      <c r="I6" s="4" t="n">
        <v>610.885</v>
      </c>
      <c r="J6" s="4" t="n">
        <v>20454.115</v>
      </c>
      <c r="K6" s="4" t="n">
        <v>7975</v>
      </c>
      <c r="L6" s="4" t="n">
        <v>28429.115</v>
      </c>
      <c r="M6" s="4" t="n">
        <v>150</v>
      </c>
      <c r="N6" s="4" t="n">
        <v>4350</v>
      </c>
      <c r="O6" s="4" t="n">
        <v>0</v>
      </c>
      <c r="P6" s="4" t="n">
        <v>4350</v>
      </c>
      <c r="Q6" s="4" t="n">
        <v>3166.666666666667</v>
      </c>
      <c r="R6" s="4" t="n">
        <v>7516.666666666666</v>
      </c>
      <c r="S6" s="5" t="n">
        <v>20912.44833333333</v>
      </c>
      <c r="T6" s="4" t="n">
        <v>52584.93766666667</v>
      </c>
    </row>
    <row r="7">
      <c r="A7" s="2" t="n">
        <v>6</v>
      </c>
      <c r="B7" s="2" t="n">
        <v>32</v>
      </c>
      <c r="C7" s="2" t="n">
        <v>0</v>
      </c>
      <c r="D7" s="2" t="n">
        <v>32</v>
      </c>
      <c r="E7" s="2" t="n">
        <v>0</v>
      </c>
      <c r="F7" s="2" t="n">
        <v>142</v>
      </c>
      <c r="G7" s="3">
        <f>(B7*0.5/4.33)+((F7-B7)*2.25/52)</f>
        <v/>
      </c>
      <c r="H7" s="4" t="n">
        <v>27193</v>
      </c>
      <c r="I7" s="4" t="n">
        <v>788.5970000000001</v>
      </c>
      <c r="J7" s="4" t="n">
        <v>26404.403</v>
      </c>
      <c r="K7" s="4" t="n">
        <v>8800</v>
      </c>
      <c r="L7" s="4" t="n">
        <v>35204.403</v>
      </c>
      <c r="M7" s="4" t="n">
        <v>150</v>
      </c>
      <c r="N7" s="4" t="n">
        <v>4800</v>
      </c>
      <c r="O7" s="4" t="n">
        <v>0</v>
      </c>
      <c r="P7" s="4" t="n">
        <v>4800</v>
      </c>
      <c r="Q7" s="4" t="n">
        <v>3166.666666666667</v>
      </c>
      <c r="R7" s="4" t="n">
        <v>7966.666666666666</v>
      </c>
      <c r="S7" s="5" t="n">
        <v>27237.73633333333</v>
      </c>
      <c r="T7" s="4" t="n">
        <v>79822.674</v>
      </c>
    </row>
    <row r="8">
      <c r="A8" s="2" t="n">
        <v>7</v>
      </c>
      <c r="B8" s="2" t="n">
        <v>34</v>
      </c>
      <c r="C8" s="2" t="n">
        <v>6</v>
      </c>
      <c r="D8" s="2" t="n">
        <v>28</v>
      </c>
      <c r="E8" s="2" t="n">
        <v>0</v>
      </c>
      <c r="F8" s="2" t="n">
        <v>176</v>
      </c>
      <c r="G8" s="3">
        <f>(B8*0.5/4.33)+((F8-B8)*2.25/52)</f>
        <v/>
      </c>
      <c r="H8" s="4" t="n">
        <v>33704</v>
      </c>
      <c r="I8" s="4" t="n">
        <v>977.4160000000001</v>
      </c>
      <c r="J8" s="4" t="n">
        <v>32726.584</v>
      </c>
      <c r="K8" s="4" t="n">
        <v>9350</v>
      </c>
      <c r="L8" s="4" t="n">
        <v>42076.584</v>
      </c>
      <c r="M8" s="4" t="n">
        <v>120</v>
      </c>
      <c r="N8" s="4" t="n">
        <v>3360</v>
      </c>
      <c r="O8" s="4" t="n">
        <v>0</v>
      </c>
      <c r="P8" s="4" t="n">
        <v>3360</v>
      </c>
      <c r="Q8" s="4" t="n">
        <v>3166.666666666667</v>
      </c>
      <c r="R8" s="4" t="n">
        <v>6526.666666666666</v>
      </c>
      <c r="S8" s="5" t="n">
        <v>35549.91733333334</v>
      </c>
      <c r="T8" s="4" t="n">
        <v>115372.5913333333</v>
      </c>
    </row>
    <row r="9">
      <c r="A9" s="2" t="n">
        <v>8</v>
      </c>
      <c r="B9" s="2" t="n">
        <v>36</v>
      </c>
      <c r="C9" s="2" t="n">
        <v>7</v>
      </c>
      <c r="D9" s="2" t="n">
        <v>29</v>
      </c>
      <c r="E9" s="2" t="n">
        <v>1</v>
      </c>
      <c r="F9" s="2" t="n">
        <v>211</v>
      </c>
      <c r="G9" s="3">
        <f>(B9*0.5/4.33)+((F9-B9)*2.25/52)</f>
        <v/>
      </c>
      <c r="H9" s="4" t="n">
        <v>40406.5</v>
      </c>
      <c r="I9" s="4" t="n">
        <v>1171.7885</v>
      </c>
      <c r="J9" s="4" t="n">
        <v>39234.7115</v>
      </c>
      <c r="K9" s="4" t="n">
        <v>9900</v>
      </c>
      <c r="L9" s="4" t="n">
        <v>49134.7115</v>
      </c>
      <c r="M9" s="4" t="n">
        <v>120</v>
      </c>
      <c r="N9" s="4" t="n">
        <v>3480</v>
      </c>
      <c r="O9" s="4" t="n">
        <v>0</v>
      </c>
      <c r="P9" s="4" t="n">
        <v>3480</v>
      </c>
      <c r="Q9" s="4" t="n">
        <v>3166.666666666667</v>
      </c>
      <c r="R9" s="4" t="n">
        <v>6646.666666666666</v>
      </c>
      <c r="S9" s="5" t="n">
        <v>42488.04483333333</v>
      </c>
      <c r="T9" s="4" t="n">
        <v>157860.6361666667</v>
      </c>
    </row>
    <row r="10">
      <c r="A10" s="2" t="n">
        <v>9</v>
      </c>
      <c r="B10" s="2" t="n">
        <v>36</v>
      </c>
      <c r="C10" s="2" t="n">
        <v>7</v>
      </c>
      <c r="D10" s="2" t="n">
        <v>29</v>
      </c>
      <c r="E10" s="2" t="n">
        <v>1</v>
      </c>
      <c r="F10" s="2" t="n">
        <v>246</v>
      </c>
      <c r="G10" s="3">
        <f>(B10*0.5/4.33)+((F10-B10)*2.25/52)</f>
        <v/>
      </c>
      <c r="H10" s="4" t="n">
        <v>47109</v>
      </c>
      <c r="I10" s="4" t="n">
        <v>1366.161</v>
      </c>
      <c r="J10" s="4" t="n">
        <v>45742.839</v>
      </c>
      <c r="K10" s="4" t="n">
        <v>9900</v>
      </c>
      <c r="L10" s="4" t="n">
        <v>55642.839</v>
      </c>
      <c r="M10" s="4" t="n">
        <v>120</v>
      </c>
      <c r="N10" s="4" t="n">
        <v>3480</v>
      </c>
      <c r="O10" s="4" t="n">
        <v>0</v>
      </c>
      <c r="P10" s="4" t="n">
        <v>3480</v>
      </c>
      <c r="Q10" s="4" t="n">
        <v>3166.666666666667</v>
      </c>
      <c r="R10" s="4" t="n">
        <v>6646.666666666666</v>
      </c>
      <c r="S10" s="5" t="n">
        <v>48996.17233333334</v>
      </c>
      <c r="T10" s="4" t="n">
        <v>206856.8085</v>
      </c>
    </row>
    <row r="11">
      <c r="A11" s="2" t="n">
        <v>10</v>
      </c>
      <c r="B11" s="2" t="n">
        <v>36</v>
      </c>
      <c r="C11" s="2" t="n">
        <v>7</v>
      </c>
      <c r="D11" s="2" t="n">
        <v>29</v>
      </c>
      <c r="E11" s="2" t="n">
        <v>1</v>
      </c>
      <c r="F11" s="2" t="n">
        <v>281</v>
      </c>
      <c r="G11" s="3">
        <f>(B11*0.5/4.33)+((F11-B11)*2.25/52)</f>
        <v/>
      </c>
      <c r="H11" s="4" t="n">
        <v>53811.5</v>
      </c>
      <c r="I11" s="4" t="n">
        <v>1560.5335</v>
      </c>
      <c r="J11" s="4" t="n">
        <v>52250.9665</v>
      </c>
      <c r="K11" s="4" t="n">
        <v>9900</v>
      </c>
      <c r="L11" s="4" t="n">
        <v>62150.9665</v>
      </c>
      <c r="M11" s="4" t="n">
        <v>120</v>
      </c>
      <c r="N11" s="4" t="n">
        <v>3480</v>
      </c>
      <c r="O11" s="4" t="n">
        <v>0</v>
      </c>
      <c r="P11" s="4" t="n">
        <v>3480</v>
      </c>
      <c r="Q11" s="4" t="n">
        <v>3166.666666666667</v>
      </c>
      <c r="R11" s="4" t="n">
        <v>6646.666666666666</v>
      </c>
      <c r="S11" s="5" t="n">
        <v>55504.29983333334</v>
      </c>
      <c r="T11" s="4" t="n">
        <v>262361.1083333334</v>
      </c>
    </row>
    <row r="12">
      <c r="A12" s="2" t="n">
        <v>11</v>
      </c>
      <c r="B12" s="2" t="n">
        <v>34</v>
      </c>
      <c r="C12" s="2" t="n">
        <v>6</v>
      </c>
      <c r="D12" s="2" t="n">
        <v>28</v>
      </c>
      <c r="E12" s="2" t="n">
        <v>1</v>
      </c>
      <c r="F12" s="2" t="n">
        <v>314</v>
      </c>
      <c r="G12" s="3">
        <f>(B12*0.5/4.33)+((F12-B12)*2.25/52)</f>
        <v/>
      </c>
      <c r="H12" s="4" t="n">
        <v>60131</v>
      </c>
      <c r="I12" s="4" t="n">
        <v>1743.799</v>
      </c>
      <c r="J12" s="4" t="n">
        <v>58387.201</v>
      </c>
      <c r="K12" s="4" t="n">
        <v>9350</v>
      </c>
      <c r="L12" s="4" t="n">
        <v>67737.201</v>
      </c>
      <c r="M12" s="4" t="n">
        <v>120</v>
      </c>
      <c r="N12" s="4" t="n">
        <v>3360</v>
      </c>
      <c r="O12" s="4" t="n">
        <v>0</v>
      </c>
      <c r="P12" s="4" t="n">
        <v>3360</v>
      </c>
      <c r="Q12" s="4" t="n">
        <v>3166.666666666667</v>
      </c>
      <c r="R12" s="4" t="n">
        <v>6526.666666666666</v>
      </c>
      <c r="S12" s="5" t="n">
        <v>61210.53433333334</v>
      </c>
      <c r="T12" s="4" t="n">
        <v>323571.6426666667</v>
      </c>
    </row>
    <row r="13">
      <c r="A13" s="2" t="n">
        <v>12</v>
      </c>
      <c r="B13" s="2" t="n">
        <v>32</v>
      </c>
      <c r="C13" s="2" t="n">
        <v>6</v>
      </c>
      <c r="D13" s="2" t="n">
        <v>26</v>
      </c>
      <c r="E13" s="2" t="n">
        <v>2</v>
      </c>
      <c r="F13" s="2" t="n">
        <v>344</v>
      </c>
      <c r="G13" s="3">
        <f>(B13*0.5/4.33)+((F13-B13)*2.25/52)</f>
        <v/>
      </c>
      <c r="H13" s="4" t="n">
        <v>65876</v>
      </c>
      <c r="I13" s="4" t="n">
        <v>1910.404</v>
      </c>
      <c r="J13" s="4" t="n">
        <v>63965.596</v>
      </c>
      <c r="K13" s="4" t="n">
        <v>8800</v>
      </c>
      <c r="L13" s="4" t="n">
        <v>72765.59599999999</v>
      </c>
      <c r="M13" s="4" t="n">
        <v>120</v>
      </c>
      <c r="N13" s="4" t="n">
        <v>3120</v>
      </c>
      <c r="O13" s="4" t="n">
        <v>0</v>
      </c>
      <c r="P13" s="4" t="n">
        <v>3120</v>
      </c>
      <c r="Q13" s="4" t="n">
        <v>3166.666666666667</v>
      </c>
      <c r="R13" s="4" t="n">
        <v>6286.666666666666</v>
      </c>
      <c r="S13" s="5" t="n">
        <v>66478.92933333332</v>
      </c>
      <c r="T13" s="4" t="n">
        <v>390050.572</v>
      </c>
    </row>
    <row r="14">
      <c r="A14" s="2" t="n">
        <v>13</v>
      </c>
      <c r="B14" s="2" t="n">
        <v>30</v>
      </c>
      <c r="C14" s="2" t="n">
        <v>6</v>
      </c>
      <c r="D14" s="2" t="n">
        <v>24</v>
      </c>
      <c r="E14" s="2" t="n">
        <v>2</v>
      </c>
      <c r="F14" s="2" t="n">
        <v>372</v>
      </c>
      <c r="G14" s="3">
        <f>(B14*0.5/4.33)+((F14-B14)*2.25/52)</f>
        <v/>
      </c>
      <c r="H14" s="4" t="n">
        <v>71238</v>
      </c>
      <c r="I14" s="4" t="n">
        <v>2065.902</v>
      </c>
      <c r="J14" s="4" t="n">
        <v>69172.098</v>
      </c>
      <c r="K14" s="4" t="n">
        <v>8250</v>
      </c>
      <c r="L14" s="4" t="n">
        <v>77422.098</v>
      </c>
      <c r="M14" s="4" t="n">
        <v>100</v>
      </c>
      <c r="N14" s="4" t="n">
        <v>2400</v>
      </c>
      <c r="O14" s="4" t="n">
        <v>0</v>
      </c>
      <c r="P14" s="4" t="n">
        <v>2400</v>
      </c>
      <c r="Q14" s="4" t="n">
        <v>3166.666666666667</v>
      </c>
      <c r="R14" s="4" t="n">
        <v>5566.666666666666</v>
      </c>
      <c r="S14" s="5" t="n">
        <v>71855.43133333333</v>
      </c>
      <c r="T14" s="4" t="n">
        <v>461906.0033333334</v>
      </c>
    </row>
    <row r="15">
      <c r="A15" s="2" t="n">
        <v>14</v>
      </c>
      <c r="B15" s="2" t="n">
        <v>30</v>
      </c>
      <c r="C15" s="2" t="n">
        <v>6</v>
      </c>
      <c r="D15" s="2" t="n">
        <v>24</v>
      </c>
      <c r="E15" s="2" t="n">
        <v>2</v>
      </c>
      <c r="F15" s="2" t="n">
        <v>400</v>
      </c>
      <c r="G15" s="3">
        <f>(B15*0.5/4.33)+((F15-B15)*2.25/52)</f>
        <v/>
      </c>
      <c r="H15" s="4" t="n">
        <v>76600</v>
      </c>
      <c r="I15" s="4" t="n">
        <v>2221.4</v>
      </c>
      <c r="J15" s="4" t="n">
        <v>74378.60000000001</v>
      </c>
      <c r="K15" s="4" t="n">
        <v>8250</v>
      </c>
      <c r="L15" s="4" t="n">
        <v>82628.60000000001</v>
      </c>
      <c r="M15" s="4" t="n">
        <v>100</v>
      </c>
      <c r="N15" s="4" t="n">
        <v>2400</v>
      </c>
      <c r="O15" s="4" t="n">
        <v>0</v>
      </c>
      <c r="P15" s="4" t="n">
        <v>2400</v>
      </c>
      <c r="Q15" s="4" t="n">
        <v>3166.666666666667</v>
      </c>
      <c r="R15" s="4" t="n">
        <v>5566.666666666666</v>
      </c>
      <c r="S15" s="5" t="n">
        <v>77061.93333333333</v>
      </c>
      <c r="T15" s="4" t="n">
        <v>538967.9366666666</v>
      </c>
    </row>
    <row r="16">
      <c r="A16" s="2" t="n">
        <v>15</v>
      </c>
      <c r="B16" s="2" t="n">
        <v>29</v>
      </c>
      <c r="C16" s="2" t="n">
        <v>5</v>
      </c>
      <c r="D16" s="2" t="n">
        <v>24</v>
      </c>
      <c r="E16" s="2" t="n">
        <v>2</v>
      </c>
      <c r="F16" s="2" t="n">
        <v>427</v>
      </c>
      <c r="G16" s="3">
        <f>(B16*0.5/4.33)+((F16-B16)*2.25/52)</f>
        <v/>
      </c>
      <c r="H16" s="4" t="n">
        <v>81770.5</v>
      </c>
      <c r="I16" s="4" t="n">
        <v>2371.3445</v>
      </c>
      <c r="J16" s="4" t="n">
        <v>79399.15549999999</v>
      </c>
      <c r="K16" s="4" t="n">
        <v>7975</v>
      </c>
      <c r="L16" s="4" t="n">
        <v>87374.15549999999</v>
      </c>
      <c r="M16" s="4" t="n">
        <v>100</v>
      </c>
      <c r="N16" s="4" t="n">
        <v>2400</v>
      </c>
      <c r="O16" s="4" t="n">
        <v>0</v>
      </c>
      <c r="P16" s="4" t="n">
        <v>2400</v>
      </c>
      <c r="Q16" s="4" t="n">
        <v>3166.666666666667</v>
      </c>
      <c r="R16" s="4" t="n">
        <v>5566.666666666666</v>
      </c>
      <c r="S16" s="5" t="n">
        <v>81807.48883333332</v>
      </c>
      <c r="T16" s="4" t="n">
        <v>620775.4255</v>
      </c>
    </row>
    <row r="17">
      <c r="A17" s="2" t="n">
        <v>16</v>
      </c>
      <c r="B17" s="2" t="n">
        <v>28</v>
      </c>
      <c r="C17" s="2" t="n">
        <v>5</v>
      </c>
      <c r="D17" s="2" t="n">
        <v>23</v>
      </c>
      <c r="E17" s="2" t="n">
        <v>2</v>
      </c>
      <c r="F17" s="2" t="n">
        <v>453</v>
      </c>
      <c r="G17" s="3">
        <f>(B17*0.5/4.33)+((F17-B17)*2.25/52)</f>
        <v/>
      </c>
      <c r="H17" s="4" t="n">
        <v>86749.5</v>
      </c>
      <c r="I17" s="4" t="n">
        <v>2515.7355</v>
      </c>
      <c r="J17" s="4" t="n">
        <v>84233.7645</v>
      </c>
      <c r="K17" s="4" t="n">
        <v>7700</v>
      </c>
      <c r="L17" s="4" t="n">
        <v>91933.7645</v>
      </c>
      <c r="M17" s="4" t="n">
        <v>100</v>
      </c>
      <c r="N17" s="4" t="n">
        <v>2300</v>
      </c>
      <c r="O17" s="4" t="n">
        <v>0</v>
      </c>
      <c r="P17" s="4" t="n">
        <v>2300</v>
      </c>
      <c r="Q17" s="4" t="n">
        <v>3166.666666666667</v>
      </c>
      <c r="R17" s="4" t="n">
        <v>5466.666666666666</v>
      </c>
      <c r="S17" s="5" t="n">
        <v>86467.09783333333</v>
      </c>
      <c r="T17" s="4" t="n">
        <v>707242.5233333333</v>
      </c>
    </row>
    <row r="18">
      <c r="A18" s="2" t="n">
        <v>17</v>
      </c>
      <c r="B18" s="2" t="n">
        <v>27</v>
      </c>
      <c r="C18" s="2" t="n">
        <v>5</v>
      </c>
      <c r="D18" s="2" t="n">
        <v>22</v>
      </c>
      <c r="E18" s="2" t="n">
        <v>3</v>
      </c>
      <c r="F18" s="2" t="n">
        <v>477</v>
      </c>
      <c r="G18" s="3">
        <f>(B18*0.5/4.33)+((F18-B18)*2.25/52)</f>
        <v/>
      </c>
      <c r="H18" s="4" t="n">
        <v>91345.5</v>
      </c>
      <c r="I18" s="4" t="n">
        <v>2649.0195</v>
      </c>
      <c r="J18" s="4" t="n">
        <v>88696.48050000001</v>
      </c>
      <c r="K18" s="4" t="n">
        <v>7425</v>
      </c>
      <c r="L18" s="4" t="n">
        <v>96121.48050000001</v>
      </c>
      <c r="M18" s="4" t="n">
        <v>100</v>
      </c>
      <c r="N18" s="4" t="n">
        <v>2200</v>
      </c>
      <c r="O18" s="4" t="n">
        <v>0</v>
      </c>
      <c r="P18" s="4" t="n">
        <v>2200</v>
      </c>
      <c r="Q18" s="4" t="n">
        <v>3166.666666666667</v>
      </c>
      <c r="R18" s="4" t="n">
        <v>5366.666666666666</v>
      </c>
      <c r="S18" s="5" t="n">
        <v>90754.81383333333</v>
      </c>
      <c r="T18" s="4" t="n">
        <v>797997.3371666666</v>
      </c>
    </row>
    <row r="19">
      <c r="A19" s="6" t="n">
        <v>18</v>
      </c>
      <c r="B19" s="6" t="n">
        <v>26</v>
      </c>
      <c r="C19" s="6" t="n">
        <v>5</v>
      </c>
      <c r="D19" s="6" t="n">
        <v>21</v>
      </c>
      <c r="E19" s="6" t="n">
        <v>3</v>
      </c>
      <c r="F19" s="6" t="n">
        <v>500</v>
      </c>
      <c r="G19" s="7">
        <f>(B19*0.5/4.33)+((F19-B19)*2.25/52)</f>
        <v/>
      </c>
      <c r="H19" s="8" t="n">
        <v>95750</v>
      </c>
      <c r="I19" s="8" t="n">
        <v>2776.75</v>
      </c>
      <c r="J19" s="8" t="n">
        <v>92973.25</v>
      </c>
      <c r="K19" s="8" t="n">
        <v>7150</v>
      </c>
      <c r="L19" s="8" t="n">
        <v>100123.25</v>
      </c>
      <c r="M19" s="8" t="n">
        <v>100</v>
      </c>
      <c r="N19" s="8" t="n">
        <v>2100</v>
      </c>
      <c r="O19" s="8" t="n">
        <v>0</v>
      </c>
      <c r="P19" s="8" t="n">
        <v>2100</v>
      </c>
      <c r="Q19" s="8" t="n">
        <v>3166.666666666667</v>
      </c>
      <c r="R19" s="8" t="n">
        <v>5266.666666666666</v>
      </c>
      <c r="S19" s="5" t="n">
        <v>94856.58333333333</v>
      </c>
      <c r="T19" s="8" t="n">
        <v>892853.9205</v>
      </c>
    </row>
    <row r="20">
      <c r="A20" s="9" t="inlineStr">
        <is>
          <t>TOTAL</t>
        </is>
      </c>
      <c r="B20" s="10">
        <f>SUM(B2:B19)</f>
        <v/>
      </c>
      <c r="C20" s="10">
        <f>SUM(C2:C19)</f>
        <v/>
      </c>
      <c r="D20" s="10">
        <f>SUM(D2:D19)</f>
        <v/>
      </c>
      <c r="E20" s="10">
        <f>SUM(E2:E19)</f>
        <v/>
      </c>
      <c r="H20" s="11">
        <f>SUM(H2:H19)</f>
        <v/>
      </c>
      <c r="I20" s="11">
        <f>SUM(I2:I19)</f>
        <v/>
      </c>
      <c r="J20" s="11">
        <f>SUM(J2:J19)</f>
        <v/>
      </c>
      <c r="K20" s="11">
        <f>SUM(K2:K19)</f>
        <v/>
      </c>
      <c r="L20" s="11">
        <f>SUM(L2:L19)</f>
        <v/>
      </c>
      <c r="N20" s="11">
        <f>SUM(N2:N19)</f>
        <v/>
      </c>
      <c r="O20" s="11">
        <f>SUM(O2:O19)</f>
        <v/>
      </c>
      <c r="P20" s="11">
        <f>SUM(P2:P19)</f>
        <v/>
      </c>
      <c r="Q20" s="11">
        <f>SUM(Q2:Q19)</f>
        <v/>
      </c>
      <c r="R20" s="11">
        <f>SUM(R2:R19)</f>
        <v/>
      </c>
      <c r="S20" s="11">
        <f>SUM(S2:S19)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2" t="inlineStr">
        <is>
          <t>AGNI HEALTH - 18-MONTH FINANCIAL SUMMARY</t>
        </is>
      </c>
    </row>
    <row r="3">
      <c r="A3" s="13" t="inlineStr">
        <is>
          <t>TARGET METRICS</t>
        </is>
      </c>
    </row>
    <row r="4">
      <c r="A4" t="inlineStr">
        <is>
          <t>Target Patients</t>
        </is>
      </c>
      <c r="B4" t="n">
        <v>500</v>
      </c>
    </row>
    <row r="5">
      <c r="A5" t="inlineStr">
        <is>
          <t>Final Patient Count</t>
        </is>
      </c>
      <c r="B5" t="n">
        <v>500</v>
      </c>
    </row>
    <row r="6">
      <c r="A6" t="inlineStr">
        <is>
          <t>Achievement %</t>
        </is>
      </c>
      <c r="B6" s="14" t="n">
        <v>1</v>
      </c>
    </row>
    <row r="8">
      <c r="A8" s="13" t="inlineStr">
        <is>
          <t>PHYSICIAN WORKLOAD</t>
        </is>
      </c>
    </row>
    <row r="9">
      <c r="A9" t="inlineStr">
        <is>
          <t>Hours per Patient per Year</t>
        </is>
      </c>
      <c r="B9" s="15" t="n">
        <v>2.75</v>
      </c>
    </row>
    <row r="10">
      <c r="A10" t="inlineStr">
        <is>
          <t>Final Hours/Week Required</t>
        </is>
      </c>
      <c r="B10" s="15" t="n">
        <v>26.44230769230769</v>
      </c>
    </row>
    <row r="12">
      <c r="A12" s="13" t="inlineStr">
        <is>
          <t>REVENUE (Month 18)</t>
        </is>
      </c>
    </row>
    <row r="13">
      <c r="A13" t="inlineStr">
        <is>
          <t>Monthly MRR</t>
        </is>
      </c>
      <c r="B13" s="16" t="n">
        <v>95750</v>
      </c>
    </row>
    <row r="14">
      <c r="A14" t="inlineStr">
        <is>
          <t>Annualized Revenue</t>
        </is>
      </c>
      <c r="B14" s="16" t="n">
        <v>1149000</v>
      </c>
    </row>
    <row r="16">
      <c r="A16" s="13" t="inlineStr">
        <is>
          <t>18-MONTH TOTALS</t>
        </is>
      </c>
    </row>
    <row r="17">
      <c r="A17" t="inlineStr">
        <is>
          <t>Total Revenue</t>
        </is>
      </c>
      <c r="B17" s="16" t="n">
        <v>1005233.9205</v>
      </c>
    </row>
    <row r="18">
      <c r="A18" t="inlineStr">
        <is>
          <t>Total CAC Spend</t>
        </is>
      </c>
      <c r="B18" s="16" t="n">
        <v>55380</v>
      </c>
    </row>
    <row r="19">
      <c r="A19" t="inlineStr">
        <is>
          <t>Total Operating Costs</t>
        </is>
      </c>
      <c r="B19" s="16" t="n">
        <v>57000</v>
      </c>
    </row>
    <row r="20">
      <c r="A20" t="inlineStr">
        <is>
          <t>Total Net Income</t>
        </is>
      </c>
      <c r="B20" s="16" t="n">
        <v>892853.9205</v>
      </c>
    </row>
    <row r="22">
      <c r="A22" s="13" t="inlineStr">
        <is>
          <t>CAC ASSUMPTIONS</t>
        </is>
      </c>
    </row>
    <row r="23">
      <c r="A23" t="inlineStr">
        <is>
          <t>Months 1-6 CAC</t>
        </is>
      </c>
      <c r="B23" t="inlineStr">
        <is>
          <t>$150/patient</t>
        </is>
      </c>
    </row>
    <row r="24">
      <c r="A24" t="inlineStr">
        <is>
          <t>Months 7-12 CAC</t>
        </is>
      </c>
      <c r="B24" t="inlineStr">
        <is>
          <t>$120/patient</t>
        </is>
      </c>
    </row>
    <row r="25">
      <c r="A25" t="inlineStr">
        <is>
          <t>Months 13-18 CAC</t>
        </is>
      </c>
      <c r="B25" t="inlineStr">
        <is>
          <t>$100/patient</t>
        </is>
      </c>
    </row>
    <row r="26">
      <c r="A26" t="inlineStr">
        <is>
          <t>Referral Rate (after M6)</t>
        </is>
      </c>
      <c r="B26" t="inlineStr">
        <is>
          <t>20% at $0 CAC</t>
        </is>
      </c>
    </row>
    <row r="28">
      <c r="A28" s="13" t="inlineStr">
        <is>
          <t>UNIT ECONOMICS</t>
        </is>
      </c>
    </row>
    <row r="29">
      <c r="A29" t="inlineStr">
        <is>
          <t>Blended MRR/Patient</t>
        </is>
      </c>
      <c r="B29" s="17" t="n">
        <v>191.5</v>
      </c>
    </row>
    <row r="30">
      <c r="A30" t="inlineStr">
        <is>
          <t>Initial Consultation</t>
        </is>
      </c>
      <c r="B30" s="17" t="n">
        <v>275</v>
      </c>
    </row>
    <row r="31">
      <c r="A31" t="inlineStr">
        <is>
          <t>Annual Churn Rate</t>
        </is>
      </c>
      <c r="B31" s="14" t="n">
        <v>0.08</v>
      </c>
    </row>
    <row r="32">
      <c r="A32" t="inlineStr">
        <is>
          <t>Payment Processing</t>
        </is>
      </c>
      <c r="B32" s="14" t="n">
        <v>0.029</v>
      </c>
    </row>
    <row r="34">
      <c r="A34" s="13" t="inlineStr">
        <is>
          <t>OPERATING COSTS (Annual)</t>
        </is>
      </c>
    </row>
    <row r="35">
      <c r="A35" t="inlineStr">
        <is>
          <t>Malpractice</t>
        </is>
      </c>
      <c r="B35" s="16" t="n">
        <v>10000</v>
      </c>
    </row>
    <row r="36">
      <c r="A36" t="inlineStr">
        <is>
          <t>EHR</t>
        </is>
      </c>
      <c r="B36" s="16" t="n">
        <v>2000</v>
      </c>
    </row>
    <row r="37">
      <c r="A37" t="inlineStr">
        <is>
          <t>Licensing</t>
        </is>
      </c>
      <c r="B37" s="16" t="n">
        <v>8000</v>
      </c>
    </row>
    <row r="38">
      <c r="A38" t="inlineStr">
        <is>
          <t>Accounting</t>
        </is>
      </c>
      <c r="B38" s="16" t="n">
        <v>8000</v>
      </c>
    </row>
    <row r="39">
      <c r="A39" t="inlineStr">
        <is>
          <t>Software</t>
        </is>
      </c>
      <c r="B39" s="16" t="n">
        <v>5000</v>
      </c>
    </row>
    <row r="40">
      <c r="A40" t="inlineStr">
        <is>
          <t>Insurance/Misc</t>
        </is>
      </c>
      <c r="B40" s="16" t="n">
        <v>5000</v>
      </c>
    </row>
    <row r="41">
      <c r="A41" t="inlineStr">
        <is>
          <t>Total Annual OpEx</t>
        </is>
      </c>
      <c r="B41" s="16" t="n">
        <v>38000</v>
      </c>
    </row>
    <row r="43">
      <c r="A43" s="13" t="inlineStr">
        <is>
          <t>PHYSICIAN COMPENSATION TARGET</t>
        </is>
      </c>
    </row>
    <row r="44">
      <c r="A44" t="inlineStr">
        <is>
          <t>Annual Salary Target</t>
        </is>
      </c>
      <c r="B44" s="16" t="n">
        <v>300000</v>
      </c>
    </row>
    <row r="45">
      <c r="A45" t="inlineStr">
        <is>
          <t>Monthly Salary Target</t>
        </is>
      </c>
      <c r="B45" s="16" t="n">
        <v>25000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2" customWidth="1" min="4" max="4"/>
    <col width="14" customWidth="1" min="5" max="5"/>
    <col width="10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Month</t>
        </is>
      </c>
      <c r="B1" s="1" t="inlineStr">
        <is>
          <t>Phase</t>
        </is>
      </c>
      <c r="C1" s="1" t="inlineStr">
        <is>
          <t>New Patients</t>
        </is>
      </c>
      <c r="D1" s="1" t="inlineStr">
        <is>
          <t>Referral %</t>
        </is>
      </c>
      <c r="E1" s="1" t="inlineStr">
        <is>
          <t>Paid Patients</t>
        </is>
      </c>
      <c r="F1" s="1" t="inlineStr">
        <is>
          <t>CAC Rate</t>
        </is>
      </c>
      <c r="G1" s="1" t="inlineStr">
        <is>
          <t>CAC Spend</t>
        </is>
      </c>
      <c r="H1" s="1" t="inlineStr">
        <is>
          <t>Cumulative CAC</t>
        </is>
      </c>
      <c r="I1" s="1" t="inlineStr">
        <is>
          <t>Avg CAC/Patient</t>
        </is>
      </c>
    </row>
    <row r="2">
      <c r="A2" s="18" t="n">
        <v>1</v>
      </c>
      <c r="B2" s="18" t="inlineStr">
        <is>
          <t>Launch &amp; Build</t>
        </is>
      </c>
      <c r="C2" s="18" t="n">
        <v>15</v>
      </c>
      <c r="D2" s="19" t="n">
        <v>0</v>
      </c>
      <c r="E2" s="18" t="n">
        <v>15</v>
      </c>
      <c r="F2" s="4" t="n">
        <v>150</v>
      </c>
      <c r="G2" s="4" t="n">
        <v>2250</v>
      </c>
      <c r="H2" s="4" t="n">
        <v>2250</v>
      </c>
      <c r="I2" s="20" t="n">
        <v>150</v>
      </c>
    </row>
    <row r="3">
      <c r="A3" s="18" t="n">
        <v>2</v>
      </c>
      <c r="B3" s="18" t="inlineStr">
        <is>
          <t>Launch &amp; Build</t>
        </is>
      </c>
      <c r="C3" s="18" t="n">
        <v>18</v>
      </c>
      <c r="D3" s="19" t="n">
        <v>0</v>
      </c>
      <c r="E3" s="18" t="n">
        <v>18</v>
      </c>
      <c r="F3" s="4" t="n">
        <v>150</v>
      </c>
      <c r="G3" s="4" t="n">
        <v>2700</v>
      </c>
      <c r="H3" s="4" t="n">
        <v>4950</v>
      </c>
      <c r="I3" s="20" t="n">
        <v>150</v>
      </c>
    </row>
    <row r="4">
      <c r="A4" s="18" t="n">
        <v>3</v>
      </c>
      <c r="B4" s="18" t="inlineStr">
        <is>
          <t>Launch &amp; Build</t>
        </is>
      </c>
      <c r="C4" s="18" t="n">
        <v>22</v>
      </c>
      <c r="D4" s="19" t="n">
        <v>0</v>
      </c>
      <c r="E4" s="18" t="n">
        <v>22</v>
      </c>
      <c r="F4" s="4" t="n">
        <v>150</v>
      </c>
      <c r="G4" s="4" t="n">
        <v>3300</v>
      </c>
      <c r="H4" s="4" t="n">
        <v>8250</v>
      </c>
      <c r="I4" s="20" t="n">
        <v>150</v>
      </c>
    </row>
    <row r="5">
      <c r="A5" s="18" t="n">
        <v>4</v>
      </c>
      <c r="B5" s="18" t="inlineStr">
        <is>
          <t>Launch &amp; Build</t>
        </is>
      </c>
      <c r="C5" s="18" t="n">
        <v>26</v>
      </c>
      <c r="D5" s="19" t="n">
        <v>0</v>
      </c>
      <c r="E5" s="18" t="n">
        <v>26</v>
      </c>
      <c r="F5" s="4" t="n">
        <v>150</v>
      </c>
      <c r="G5" s="4" t="n">
        <v>3900</v>
      </c>
      <c r="H5" s="4" t="n">
        <v>12150</v>
      </c>
      <c r="I5" s="20" t="n">
        <v>150</v>
      </c>
    </row>
    <row r="6">
      <c r="A6" s="18" t="n">
        <v>5</v>
      </c>
      <c r="B6" s="18" t="inlineStr">
        <is>
          <t>Launch &amp; Build</t>
        </is>
      </c>
      <c r="C6" s="18" t="n">
        <v>29</v>
      </c>
      <c r="D6" s="19" t="n">
        <v>0</v>
      </c>
      <c r="E6" s="18" t="n">
        <v>29</v>
      </c>
      <c r="F6" s="4" t="n">
        <v>150</v>
      </c>
      <c r="G6" s="4" t="n">
        <v>4350</v>
      </c>
      <c r="H6" s="4" t="n">
        <v>16500</v>
      </c>
      <c r="I6" s="20" t="n">
        <v>150</v>
      </c>
    </row>
    <row r="7">
      <c r="A7" s="18" t="n">
        <v>6</v>
      </c>
      <c r="B7" s="18" t="inlineStr">
        <is>
          <t>Launch &amp; Build</t>
        </is>
      </c>
      <c r="C7" s="18" t="n">
        <v>32</v>
      </c>
      <c r="D7" s="19" t="n">
        <v>0</v>
      </c>
      <c r="E7" s="18" t="n">
        <v>32</v>
      </c>
      <c r="F7" s="4" t="n">
        <v>150</v>
      </c>
      <c r="G7" s="4" t="n">
        <v>4800</v>
      </c>
      <c r="H7" s="4" t="n">
        <v>21300</v>
      </c>
      <c r="I7" s="20" t="n">
        <v>150</v>
      </c>
    </row>
    <row r="8">
      <c r="A8" s="18" t="n">
        <v>7</v>
      </c>
      <c r="B8" s="18" t="inlineStr">
        <is>
          <t>Growth &amp; Referrals</t>
        </is>
      </c>
      <c r="C8" s="18" t="n">
        <v>34</v>
      </c>
      <c r="D8" s="19" t="n">
        <v>0.2</v>
      </c>
      <c r="E8" s="18" t="n">
        <v>28</v>
      </c>
      <c r="F8" s="4" t="n">
        <v>120</v>
      </c>
      <c r="G8" s="4" t="n">
        <v>3360</v>
      </c>
      <c r="H8" s="4" t="n">
        <v>24660</v>
      </c>
      <c r="I8" s="20" t="n">
        <v>140.1136363636364</v>
      </c>
    </row>
    <row r="9">
      <c r="A9" s="18" t="n">
        <v>8</v>
      </c>
      <c r="B9" s="18" t="inlineStr">
        <is>
          <t>Growth &amp; Referrals</t>
        </is>
      </c>
      <c r="C9" s="18" t="n">
        <v>36</v>
      </c>
      <c r="D9" s="19" t="n">
        <v>0.2</v>
      </c>
      <c r="E9" s="18" t="n">
        <v>29</v>
      </c>
      <c r="F9" s="4" t="n">
        <v>120</v>
      </c>
      <c r="G9" s="4" t="n">
        <v>3480</v>
      </c>
      <c r="H9" s="4" t="n">
        <v>28140</v>
      </c>
      <c r="I9" s="20" t="n">
        <v>132.7358490566038</v>
      </c>
    </row>
    <row r="10">
      <c r="A10" s="18" t="n">
        <v>9</v>
      </c>
      <c r="B10" s="18" t="inlineStr">
        <is>
          <t>Growth &amp; Referrals</t>
        </is>
      </c>
      <c r="C10" s="18" t="n">
        <v>36</v>
      </c>
      <c r="D10" s="19" t="n">
        <v>0.2</v>
      </c>
      <c r="E10" s="18" t="n">
        <v>29</v>
      </c>
      <c r="F10" s="4" t="n">
        <v>120</v>
      </c>
      <c r="G10" s="4" t="n">
        <v>3480</v>
      </c>
      <c r="H10" s="4" t="n">
        <v>31620</v>
      </c>
      <c r="I10" s="20" t="n">
        <v>127.5</v>
      </c>
    </row>
    <row r="11">
      <c r="A11" s="18" t="n">
        <v>10</v>
      </c>
      <c r="B11" s="18" t="inlineStr">
        <is>
          <t>Growth &amp; Referrals</t>
        </is>
      </c>
      <c r="C11" s="18" t="n">
        <v>36</v>
      </c>
      <c r="D11" s="19" t="n">
        <v>0.2</v>
      </c>
      <c r="E11" s="18" t="n">
        <v>29</v>
      </c>
      <c r="F11" s="4" t="n">
        <v>120</v>
      </c>
      <c r="G11" s="4" t="n">
        <v>3480</v>
      </c>
      <c r="H11" s="4" t="n">
        <v>35100</v>
      </c>
      <c r="I11" s="20" t="n">
        <v>123.5915492957746</v>
      </c>
    </row>
    <row r="12">
      <c r="A12" s="18" t="n">
        <v>11</v>
      </c>
      <c r="B12" s="18" t="inlineStr">
        <is>
          <t>Growth &amp; Referrals</t>
        </is>
      </c>
      <c r="C12" s="18" t="n">
        <v>34</v>
      </c>
      <c r="D12" s="19" t="n">
        <v>0.2</v>
      </c>
      <c r="E12" s="18" t="n">
        <v>28</v>
      </c>
      <c r="F12" s="4" t="n">
        <v>120</v>
      </c>
      <c r="G12" s="4" t="n">
        <v>3360</v>
      </c>
      <c r="H12" s="4" t="n">
        <v>38460</v>
      </c>
      <c r="I12" s="20" t="n">
        <v>120.9433962264151</v>
      </c>
    </row>
    <row r="13">
      <c r="A13" s="18" t="n">
        <v>12</v>
      </c>
      <c r="B13" s="18" t="inlineStr">
        <is>
          <t>Growth &amp; Referrals</t>
        </is>
      </c>
      <c r="C13" s="18" t="n">
        <v>32</v>
      </c>
      <c r="D13" s="19" t="n">
        <v>0.2</v>
      </c>
      <c r="E13" s="18" t="n">
        <v>26</v>
      </c>
      <c r="F13" s="4" t="n">
        <v>120</v>
      </c>
      <c r="G13" s="4" t="n">
        <v>3120</v>
      </c>
      <c r="H13" s="4" t="n">
        <v>41580</v>
      </c>
      <c r="I13" s="20" t="n">
        <v>118.8</v>
      </c>
    </row>
    <row r="14">
      <c r="A14" s="18" t="n">
        <v>13</v>
      </c>
      <c r="B14" s="18" t="inlineStr">
        <is>
          <t>Optimization</t>
        </is>
      </c>
      <c r="C14" s="18" t="n">
        <v>30</v>
      </c>
      <c r="D14" s="19" t="n">
        <v>0.2</v>
      </c>
      <c r="E14" s="18" t="n">
        <v>24</v>
      </c>
      <c r="F14" s="4" t="n">
        <v>100</v>
      </c>
      <c r="G14" s="4" t="n">
        <v>2400</v>
      </c>
      <c r="H14" s="4" t="n">
        <v>43980</v>
      </c>
      <c r="I14" s="20" t="n">
        <v>115.7368421052632</v>
      </c>
    </row>
    <row r="15">
      <c r="A15" s="18" t="n">
        <v>14</v>
      </c>
      <c r="B15" s="18" t="inlineStr">
        <is>
          <t>Optimization</t>
        </is>
      </c>
      <c r="C15" s="18" t="n">
        <v>30</v>
      </c>
      <c r="D15" s="19" t="n">
        <v>0.2</v>
      </c>
      <c r="E15" s="18" t="n">
        <v>24</v>
      </c>
      <c r="F15" s="4" t="n">
        <v>100</v>
      </c>
      <c r="G15" s="4" t="n">
        <v>2400</v>
      </c>
      <c r="H15" s="4" t="n">
        <v>46380</v>
      </c>
      <c r="I15" s="20" t="n">
        <v>113.1219512195122</v>
      </c>
    </row>
    <row r="16">
      <c r="A16" s="18" t="n">
        <v>15</v>
      </c>
      <c r="B16" s="18" t="inlineStr">
        <is>
          <t>Optimization</t>
        </is>
      </c>
      <c r="C16" s="18" t="n">
        <v>29</v>
      </c>
      <c r="D16" s="19" t="n">
        <v>0.2</v>
      </c>
      <c r="E16" s="18" t="n">
        <v>24</v>
      </c>
      <c r="F16" s="4" t="n">
        <v>100</v>
      </c>
      <c r="G16" s="4" t="n">
        <v>2400</v>
      </c>
      <c r="H16" s="4" t="n">
        <v>48780</v>
      </c>
      <c r="I16" s="20" t="n">
        <v>111.1161731207289</v>
      </c>
    </row>
    <row r="17">
      <c r="A17" s="18" t="n">
        <v>16</v>
      </c>
      <c r="B17" s="18" t="inlineStr">
        <is>
          <t>Optimization</t>
        </is>
      </c>
      <c r="C17" s="18" t="n">
        <v>28</v>
      </c>
      <c r="D17" s="19" t="n">
        <v>0.2</v>
      </c>
      <c r="E17" s="18" t="n">
        <v>23</v>
      </c>
      <c r="F17" s="4" t="n">
        <v>100</v>
      </c>
      <c r="G17" s="4" t="n">
        <v>2300</v>
      </c>
      <c r="H17" s="4" t="n">
        <v>51080</v>
      </c>
      <c r="I17" s="20" t="n">
        <v>109.3790149892934</v>
      </c>
    </row>
    <row r="18">
      <c r="A18" s="18" t="n">
        <v>17</v>
      </c>
      <c r="B18" s="18" t="inlineStr">
        <is>
          <t>Optimization</t>
        </is>
      </c>
      <c r="C18" s="18" t="n">
        <v>27</v>
      </c>
      <c r="D18" s="19" t="n">
        <v>0.2</v>
      </c>
      <c r="E18" s="18" t="n">
        <v>22</v>
      </c>
      <c r="F18" s="4" t="n">
        <v>100</v>
      </c>
      <c r="G18" s="4" t="n">
        <v>2200</v>
      </c>
      <c r="H18" s="4" t="n">
        <v>53280</v>
      </c>
      <c r="I18" s="20" t="n">
        <v>107.8542510121458</v>
      </c>
    </row>
    <row r="19">
      <c r="A19" s="18" t="n">
        <v>18</v>
      </c>
      <c r="B19" s="18" t="inlineStr">
        <is>
          <t>Optimization</t>
        </is>
      </c>
      <c r="C19" s="18" t="n">
        <v>26</v>
      </c>
      <c r="D19" s="19" t="n">
        <v>0.2</v>
      </c>
      <c r="E19" s="18" t="n">
        <v>21</v>
      </c>
      <c r="F19" s="4" t="n">
        <v>100</v>
      </c>
      <c r="G19" s="4" t="n">
        <v>2100</v>
      </c>
      <c r="H19" s="4" t="n">
        <v>55380</v>
      </c>
      <c r="I19" s="20" t="n">
        <v>106.5</v>
      </c>
    </row>
    <row r="20">
      <c r="A20" s="21" t="inlineStr">
        <is>
          <t>TOTAL</t>
        </is>
      </c>
      <c r="C20" s="10">
        <f>SUM(C2:C19)</f>
        <v/>
      </c>
      <c r="E20" s="10">
        <f>SUM(E2:E19)</f>
        <v/>
      </c>
      <c r="G20" s="11">
        <f>SUM(G2:G19)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2026-05-06T02:24:06Z</dcterms:created>
  <dcterms:modified xsi:type="dcterms:W3CDTF">2026-05-06T02:32:21Z</dcterms:modified>
</cp:coreProperties>
</file>