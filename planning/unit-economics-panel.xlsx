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Economics" sheetId="1" state="visible" r:id="rId1"/>
  </sheets>
  <definedNames>
    <definedName name="_xlnm.Print_Titles" localSheetId="0">'Unit Economics'!$1:$3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color rgb="001F3864"/>
      <sz val="9"/>
    </font>
    <font>
      <name val="Calibri"/>
      <b val="1"/>
      <i val="1"/>
      <color rgb="002F5496"/>
      <sz val="9"/>
    </font>
    <font>
      <name val="Calibri"/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7"/>
      </patternFill>
    </fill>
    <fill>
      <patternFill patternType="solid">
        <fgColor rgb="00EAF2FB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7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2F5496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medium">
        <color rgb="002F5496"/>
      </bottom>
      <diagonal/>
    </border>
    <border>
      <left/>
      <right style="thin">
        <color rgb="00B8CCE4"/>
      </right>
      <top style="thin">
        <color rgb="00B8CCE4"/>
      </top>
      <bottom style="medium">
        <color rgb="002F549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right" vertical="center"/>
    </xf>
    <xf numFmtId="0" fontId="5" fillId="5" borderId="1" pivotButton="0" quotePrefix="0" xfId="0"/>
    <xf numFmtId="0" fontId="6" fillId="6" borderId="2" applyAlignment="1" pivotButton="0" quotePrefix="0" xfId="0">
      <alignment horizontal="left" vertical="center"/>
    </xf>
    <xf numFmtId="165" fontId="6" fillId="6" borderId="2" applyAlignment="1" pivotButton="0" quotePrefix="0" xfId="0">
      <alignment horizontal="right" vertical="center"/>
    </xf>
    <xf numFmtId="0" fontId="5" fillId="6" borderId="2" pivotButton="0" quotePrefix="0" xfId="0"/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6" customWidth="1" min="4" max="4"/>
  </cols>
  <sheetData>
    <row r="1" ht="26" customHeight="1">
      <c r="A1" s="1" t="inlineStr">
        <is>
          <t>Agni Health — Physician Unit Economics</t>
        </is>
      </c>
    </row>
    <row r="2" ht="6" customHeight="1"/>
    <row r="3" ht="20" customHeight="1">
      <c r="A3" s="2" t="inlineStr">
        <is>
          <t>Activity / Metric</t>
        </is>
      </c>
      <c r="B3" s="3" t="inlineStr">
        <is>
          <t>Essential ($300/mo)</t>
        </is>
      </c>
      <c r="C3" s="3" t="inlineStr">
        <is>
          <t>Intensive ($600/mo)</t>
        </is>
      </c>
      <c r="D3" s="3" t="inlineStr">
        <is>
          <t>Notes</t>
        </is>
      </c>
    </row>
    <row r="4" ht="18" customHeight="1">
      <c r="A4" s="4" t="inlineStr">
        <is>
          <t>1.  Time per Patient / Month  (minutes)</t>
        </is>
      </c>
      <c r="B4" s="5" t="n"/>
      <c r="C4" s="5" t="n"/>
      <c r="D4" s="6" t="n"/>
    </row>
    <row r="5">
      <c r="A5" s="7" t="inlineStr">
        <is>
          <t>Initial visit (amortized ÷ 12)</t>
        </is>
      </c>
      <c r="B5" s="8" t="n">
        <v>5</v>
      </c>
      <c r="C5" s="8" t="n">
        <v>5</v>
      </c>
      <c r="D5" s="9" t="inlineStr">
        <is>
          <t>60 min visit / 12 months</t>
        </is>
      </c>
    </row>
    <row r="6">
      <c r="A6" s="7" t="inlineStr">
        <is>
          <t>Follow-up visits</t>
        </is>
      </c>
      <c r="B6" s="8" t="n">
        <v>6.7</v>
      </c>
      <c r="C6" s="8" t="n">
        <v>20</v>
      </c>
      <c r="D6" s="9" t="inlineStr">
        <is>
          <t>Essential: quarterly 20 min (÷3 ≈ 6.7/mo); Intensive: monthly 20 min</t>
        </is>
      </c>
    </row>
    <row r="7">
      <c r="A7" s="7" t="inlineStr">
        <is>
          <t>Lab review &amp; ordering</t>
        </is>
      </c>
      <c r="B7" s="8" t="n">
        <v>5</v>
      </c>
      <c r="C7" s="8" t="n">
        <v>8</v>
      </c>
      <c r="D7" s="9" t="inlineStr">
        <is>
          <t>Essential: ~quarterly; Intensive: ~monthly</t>
        </is>
      </c>
    </row>
    <row r="8">
      <c r="A8" s="7" t="inlineStr">
        <is>
          <t>Async messaging (48hr / 24hr SLA)</t>
        </is>
      </c>
      <c r="B8" s="8" t="n">
        <v>5</v>
      </c>
      <c r="C8" s="8" t="n">
        <v>10</v>
      </c>
      <c r="D8" s="9" t="inlineStr">
        <is>
          <t>Essential: lighter volume; Intensive: heavier</t>
        </is>
      </c>
    </row>
    <row r="9">
      <c r="A9" s="7" t="inlineStr">
        <is>
          <t>Care coordination / admin</t>
        </is>
      </c>
      <c r="B9" s="8" t="n">
        <v>3</v>
      </c>
      <c r="C9" s="8" t="n">
        <v>5</v>
      </c>
      <c r="D9" s="9" t="inlineStr">
        <is>
          <t>Referrals, prior auths, care team coordination</t>
        </is>
      </c>
    </row>
    <row r="10" ht="18" customHeight="1">
      <c r="A10" s="10" t="inlineStr">
        <is>
          <t>TOTAL minutes / patient / month</t>
        </is>
      </c>
      <c r="B10" s="11">
        <f>SUM(B5:B9)</f>
        <v/>
      </c>
      <c r="C10" s="11">
        <f>SUM(C5:C9)</f>
        <v/>
      </c>
      <c r="D10" s="12" t="n"/>
    </row>
    <row r="11" ht="6" customHeight="1"/>
    <row r="12" ht="18" customHeight="1">
      <c r="A12" s="4" t="inlineStr">
        <is>
          <t>2.  Revenue per Hour  (single patient)</t>
        </is>
      </c>
      <c r="B12" s="5" t="n"/>
      <c r="C12" s="5" t="n"/>
      <c r="D12" s="6" t="n"/>
    </row>
    <row r="13">
      <c r="A13" s="13" t="inlineStr">
        <is>
          <t>Monthly price per patient</t>
        </is>
      </c>
      <c r="B13" s="14" t="n">
        <v>300</v>
      </c>
      <c r="C13" s="14" t="n">
        <v>600</v>
      </c>
      <c r="D13" s="15" t="inlineStr">
        <is>
          <t>Sohan sets this</t>
        </is>
      </c>
    </row>
    <row r="14">
      <c r="A14" s="16" t="inlineStr">
        <is>
          <t>Hours / patient / month</t>
        </is>
      </c>
      <c r="B14" s="17">
        <f>B10/60</f>
        <v/>
      </c>
      <c r="C14" s="17">
        <f>C10/60</f>
        <v/>
      </c>
      <c r="D14" s="18" t="inlineStr">
        <is>
          <t>total min ÷ 60</t>
        </is>
      </c>
    </row>
    <row r="15" ht="18" customHeight="1">
      <c r="A15" s="19" t="inlineStr">
        <is>
          <t>Revenue / hour (single patient rate)</t>
        </is>
      </c>
      <c r="B15" s="20">
        <f>B13/B14</f>
        <v/>
      </c>
      <c r="C15" s="20">
        <f>C13/C14</f>
        <v/>
      </c>
      <c r="D15" s="21" t="inlineStr">
        <is>
          <t>price ÷ hrs per patient</t>
        </is>
      </c>
    </row>
    <row r="16" ht="6" customHeight="1"/>
    <row r="17" ht="18" customHeight="1">
      <c r="A17" s="4" t="inlineStr">
        <is>
          <t>3.  Panel Economics</t>
        </is>
      </c>
      <c r="B17" s="5" t="n"/>
      <c r="C17" s="5" t="n"/>
      <c r="D17" s="6" t="n"/>
    </row>
    <row r="18" ht="16" customHeight="1">
      <c r="A18" s="22" t="inlineStr">
        <is>
          <t>Scenario</t>
        </is>
      </c>
      <c r="B18" s="23" t="inlineStr">
        <is>
          <t>Total hrs/mo</t>
        </is>
      </c>
      <c r="C18" s="23" t="inlineStr">
        <is>
          <t>Gross MRR</t>
        </is>
      </c>
      <c r="D18" s="23" t="inlineStr">
        <is>
          <t>$/hr earned</t>
        </is>
      </c>
    </row>
    <row r="19" ht="14" customHeight="1">
      <c r="A19" s="24" t="inlineStr">
        <is>
          <t>── 50 patients ──</t>
        </is>
      </c>
    </row>
    <row r="20" ht="16" customHeight="1">
      <c r="A20" s="25" t="inlineStr">
        <is>
          <t>50 pts · 100% Essential  (50 Ess, 0 Int)</t>
        </is>
      </c>
      <c r="B20" s="26">
        <f>(50*B10+0*C10)/60</f>
        <v/>
      </c>
      <c r="C20" s="27">
        <f>50*300+0*600</f>
        <v/>
      </c>
      <c r="D20" s="28">
        <f>C20/B20</f>
        <v/>
      </c>
    </row>
    <row r="21" ht="16" customHeight="1">
      <c r="A21" s="16" t="inlineStr">
        <is>
          <t>50 pts · 50/50 mix        (25 Ess, 25 Int)</t>
        </is>
      </c>
      <c r="B21" s="29">
        <f>(25*B10+25*C10)/60</f>
        <v/>
      </c>
      <c r="C21" s="30">
        <f>25*300+25*600</f>
        <v/>
      </c>
      <c r="D21" s="28">
        <f>C21/B21</f>
        <v/>
      </c>
    </row>
    <row r="22" ht="16" customHeight="1">
      <c r="A22" s="25" t="inlineStr">
        <is>
          <t>50 pts · 100% Intensive   (0 Ess, 50 Int)</t>
        </is>
      </c>
      <c r="B22" s="26">
        <f>(0*B10+50*C10)/60</f>
        <v/>
      </c>
      <c r="C22" s="27">
        <f>0*300+50*600</f>
        <v/>
      </c>
      <c r="D22" s="28">
        <f>C22/B22</f>
        <v/>
      </c>
    </row>
    <row r="23" ht="14" customHeight="1">
      <c r="A23" s="24" t="inlineStr">
        <is>
          <t>── 60 patients ──</t>
        </is>
      </c>
    </row>
    <row r="24" ht="16" customHeight="1">
      <c r="A24" s="25" t="inlineStr">
        <is>
          <t>60 pts · 100% Essential  (60 Ess, 0 Int)</t>
        </is>
      </c>
      <c r="B24" s="26">
        <f>(60*B10+0*C10)/60</f>
        <v/>
      </c>
      <c r="C24" s="27">
        <f>60*300+0*600</f>
        <v/>
      </c>
      <c r="D24" s="28">
        <f>C24/B24</f>
        <v/>
      </c>
    </row>
    <row r="25" ht="16" customHeight="1">
      <c r="A25" s="16" t="inlineStr">
        <is>
          <t>60 pts · 50/50 mix        (30 Ess, 30 Int)</t>
        </is>
      </c>
      <c r="B25" s="29">
        <f>(30*B10+30*C10)/60</f>
        <v/>
      </c>
      <c r="C25" s="30">
        <f>30*300+30*600</f>
        <v/>
      </c>
      <c r="D25" s="28">
        <f>C25/B25</f>
        <v/>
      </c>
    </row>
    <row r="26" ht="16" customHeight="1">
      <c r="A26" s="25" t="inlineStr">
        <is>
          <t>60 pts · 100% Intensive   (0 Ess, 60 Int)</t>
        </is>
      </c>
      <c r="B26" s="26">
        <f>(0*B10+60*C10)/60</f>
        <v/>
      </c>
      <c r="C26" s="27">
        <f>0*300+60*600</f>
        <v/>
      </c>
      <c r="D26" s="28">
        <f>C26/B26</f>
        <v/>
      </c>
    </row>
    <row r="27" ht="6" customHeight="1"/>
    <row r="28" ht="14" customHeight="1">
      <c r="A28" s="31" t="inlineStr">
        <is>
          <t>⚑  Time inputs in Section 1 are estimates — adjust them and all downstream numbers update automatically.</t>
        </is>
      </c>
    </row>
  </sheetData>
  <mergeCells count="7">
    <mergeCell ref="A1:D1"/>
    <mergeCell ref="A17:D17"/>
    <mergeCell ref="A23:D23"/>
    <mergeCell ref="A12:D12"/>
    <mergeCell ref="A4:D4"/>
    <mergeCell ref="A19:D19"/>
    <mergeCell ref="A28:D28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2026-05-07T16:33:57Z</dcterms:created>
  <dcterms:modified xsi:type="dcterms:W3CDTF">2026-05-07T16:33:57Z</dcterms:modified>
</cp:coreProperties>
</file>