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#,##0.0"/>
    <numFmt numFmtId="166" formatCode="&quot;$&quot;#,##0.00"/>
  </numFmts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i val="1"/>
      <color rgb="00444444"/>
      <sz val="10"/>
    </font>
    <font>
      <b val="1"/>
      <sz val="10"/>
    </font>
    <font>
      <b val="1"/>
      <i val="1"/>
      <color rgb="00444444"/>
      <sz val="10"/>
    </font>
    <font>
      <b val="1"/>
      <i val="1"/>
      <color rgb="001F3864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FFFACD"/>
      </patternFill>
    </fill>
    <fill>
      <patternFill patternType="solid">
        <fgColor rgb="00F2F2F2"/>
      </patternFill>
    </fill>
    <fill>
      <patternFill patternType="solid">
        <fgColor rgb="002E509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indent="1"/>
    </xf>
    <xf numFmtId="164" fontId="2" fillId="4" borderId="1" applyAlignment="1" pivotButton="0" quotePrefix="0" xfId="0">
      <alignment horizontal="right"/>
    </xf>
    <xf numFmtId="3" fontId="2" fillId="4" borderId="1" applyAlignment="1" pivotButton="0" quotePrefix="0" xfId="0">
      <alignment horizontal="right"/>
    </xf>
    <xf numFmtId="165" fontId="3" fillId="5" borderId="1" applyAlignment="1" pivotButton="0" quotePrefix="0" xfId="0">
      <alignment horizontal="right"/>
    </xf>
    <xf numFmtId="0" fontId="4" fillId="0" borderId="1" applyAlignment="1" pivotButton="0" quotePrefix="0" xfId="0">
      <alignment horizontal="left" indent="1"/>
    </xf>
    <xf numFmtId="165" fontId="5" fillId="5" borderId="1" applyAlignment="1" pivotButton="0" quotePrefix="0" xfId="0">
      <alignment horizontal="right"/>
    </xf>
    <xf numFmtId="4" fontId="5" fillId="5" borderId="1" applyAlignment="1" pivotButton="0" quotePrefix="0" xfId="0">
      <alignment horizontal="right"/>
    </xf>
    <xf numFmtId="166" fontId="6" fillId="5" borderId="1" applyAlignment="1" pivotButton="0" quotePrefix="0" xfId="0">
      <alignment horizontal="right"/>
    </xf>
    <xf numFmtId="0" fontId="1" fillId="6" borderId="1" applyAlignment="1" pivotButton="0" quotePrefix="0" xfId="0">
      <alignment horizontal="left" vertical="center" indent="1"/>
    </xf>
    <xf numFmtId="3" fontId="2" fillId="5" borderId="1" applyAlignment="1" pivotButton="0" quotePrefix="0" xfId="0">
      <alignment horizontal="right"/>
    </xf>
    <xf numFmtId="165" fontId="2" fillId="5" borderId="1" applyAlignment="1" pivotButton="0" quotePrefix="0" xfId="0">
      <alignment horizontal="right"/>
    </xf>
    <xf numFmtId="164" fontId="2" fillId="5" borderId="1" applyAlignment="1" pivotButton="0" quotePrefix="0" xfId="0">
      <alignment horizontal="right"/>
    </xf>
    <xf numFmtId="166" fontId="2" fillId="5" borderId="1" applyAlignment="1" pivotButton="0" quotePrefix="0" xfId="0">
      <alignment horizontal="right"/>
    </xf>
  </cellXfs>
  <cellStyles count="1">
    <cellStyle name="Normal" xfId="0" builtinId="0" hidden="0"/>
  </cellStyles>
  <dxfs count="1">
    <dxf>
      <font>
        <b val="1"/>
        <color rgb="00276221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3" customWidth="1" min="4" max="4"/>
    <col width="16" customWidth="1" min="5" max="5"/>
    <col width="16" customWidth="1" min="6" max="6"/>
    <col width="14" customWidth="1" min="7" max="7"/>
  </cols>
  <sheetData>
    <row r="1" ht="22" customHeight="1">
      <c r="A1" s="1" t="inlineStr">
        <is>
          <t>SECTION 1 — ASSUMPTIONS (edit yellow cells)</t>
        </is>
      </c>
    </row>
    <row r="2" ht="18" customHeight="1">
      <c r="A2" s="2" t="inlineStr">
        <is>
          <t>Assumption</t>
        </is>
      </c>
      <c r="B2" s="2" t="inlineStr">
        <is>
          <t>Essential</t>
        </is>
      </c>
      <c r="C2" s="2" t="inlineStr">
        <is>
          <t>Intensive</t>
        </is>
      </c>
    </row>
    <row r="3">
      <c r="A3" s="3" t="inlineStr">
        <is>
          <t>Price ($/mo per patient)</t>
        </is>
      </c>
      <c r="B3" s="4" t="n">
        <v>300</v>
      </c>
      <c r="C3" s="4" t="n">
        <v>600</v>
      </c>
    </row>
    <row r="4">
      <c r="A4" s="3" t="inlineStr">
        <is>
          <t>Initial visit length (min)</t>
        </is>
      </c>
      <c r="B4" s="5" t="n">
        <v>60</v>
      </c>
      <c r="C4" s="5" t="n">
        <v>60</v>
      </c>
    </row>
    <row r="5">
      <c r="A5" s="3" t="inlineStr">
        <is>
          <t>Initial visit amortized over (months)</t>
        </is>
      </c>
      <c r="B5" s="5" t="n">
        <v>12</v>
      </c>
      <c r="C5" s="5" t="n">
        <v>12</v>
      </c>
    </row>
    <row r="6">
      <c r="A6" s="3" t="inlineStr">
        <is>
          <t>→ Amortized initial visit (min/mo)</t>
        </is>
      </c>
      <c r="B6" s="6">
        <f>B4/B5</f>
        <v/>
      </c>
      <c r="C6" s="6">
        <f>C4/C5</f>
        <v/>
      </c>
    </row>
    <row r="7">
      <c r="A7" s="3" t="inlineStr">
        <is>
          <t>Follow-up visit length (min)</t>
        </is>
      </c>
      <c r="B7" s="5" t="n">
        <v>20</v>
      </c>
      <c r="C7" s="5" t="n">
        <v>20</v>
      </c>
    </row>
    <row r="8">
      <c r="A8" s="3" t="inlineStr">
        <is>
          <t>Follow-up visits per year</t>
        </is>
      </c>
      <c r="B8" s="5" t="n">
        <v>4</v>
      </c>
      <c r="C8" s="5" t="n">
        <v>12</v>
      </c>
    </row>
    <row r="9">
      <c r="A9" s="3" t="inlineStr">
        <is>
          <t>→ Follow-up time (min/mo)</t>
        </is>
      </c>
      <c r="B9" s="6">
        <f>(B7*B8)/12</f>
        <v/>
      </c>
      <c r="C9" s="6">
        <f>(C7*C8)/12</f>
        <v/>
      </c>
    </row>
    <row r="10">
      <c r="A10" s="3" t="inlineStr">
        <is>
          <t>Lab review per patient (min/mo)</t>
        </is>
      </c>
      <c r="B10" s="5" t="n">
        <v>5</v>
      </c>
      <c r="C10" s="5" t="n">
        <v>8</v>
      </c>
    </row>
    <row r="11">
      <c r="A11" s="3" t="inlineStr">
        <is>
          <t>Async messaging (min/mo)</t>
        </is>
      </c>
      <c r="B11" s="5" t="n">
        <v>5</v>
      </c>
      <c r="C11" s="5" t="n">
        <v>10</v>
      </c>
    </row>
    <row r="12">
      <c r="A12" s="3" t="inlineStr">
        <is>
          <t>Admin / coordination (min/mo)</t>
        </is>
      </c>
      <c r="B12" s="5" t="n">
        <v>3</v>
      </c>
      <c r="C12" s="5" t="n">
        <v>5</v>
      </c>
    </row>
    <row r="13">
      <c r="A13" s="7" t="inlineStr">
        <is>
          <t>→ TOTAL time per patient (min/mo)</t>
        </is>
      </c>
      <c r="B13" s="8">
        <f>B6+B9+B10+B11+B12</f>
        <v/>
      </c>
      <c r="C13" s="8">
        <f>C6+C9+C10+C11+C12</f>
        <v/>
      </c>
    </row>
    <row r="14">
      <c r="A14" s="7" t="inlineStr">
        <is>
          <t>→ TOTAL time per patient (hrs/mo)</t>
        </is>
      </c>
      <c r="B14" s="9">
        <f>B13/60</f>
        <v/>
      </c>
      <c r="C14" s="9">
        <f>C13/60</f>
        <v/>
      </c>
    </row>
    <row r="15">
      <c r="A15" s="7" t="inlineStr">
        <is>
          <t>→ Revenue per hour ($/hr)</t>
        </is>
      </c>
      <c r="B15" s="10">
        <f>B3/B14</f>
        <v/>
      </c>
      <c r="C15" s="10">
        <f>C3/C14</f>
        <v/>
      </c>
    </row>
    <row r="17" ht="22" customHeight="1">
      <c r="A17" s="1" t="inlineStr">
        <is>
          <t>SECTION 2 — PANEL MIX SCENARIOS (all formula-driven)</t>
        </is>
      </c>
    </row>
    <row r="18" ht="18" customHeight="1">
      <c r="A18" s="2" t="inlineStr">
        <is>
          <t>Mix</t>
        </is>
      </c>
      <c r="B18" s="2" t="inlineStr">
        <is>
          <t>Essential pts</t>
        </is>
      </c>
      <c r="C18" s="2" t="inlineStr">
        <is>
          <t>Intensive pts</t>
        </is>
      </c>
      <c r="D18" s="2" t="inlineStr">
        <is>
          <t>Total pts</t>
        </is>
      </c>
      <c r="E18" s="2" t="inlineStr">
        <is>
          <t>Hrs/mo</t>
        </is>
      </c>
      <c r="F18" s="2" t="inlineStr">
        <is>
          <t>MRR ($)</t>
        </is>
      </c>
      <c r="G18" s="2" t="inlineStr">
        <is>
          <t>$/hr</t>
        </is>
      </c>
    </row>
    <row r="19" ht="18" customHeight="1">
      <c r="A19" s="11" t="inlineStr">
        <is>
          <t>Panel Size: 50 patients</t>
        </is>
      </c>
    </row>
    <row r="20">
      <c r="A20" s="3" t="inlineStr">
        <is>
          <t>100% Essential</t>
        </is>
      </c>
      <c r="B20" s="5" t="n">
        <v>50</v>
      </c>
      <c r="C20" s="5" t="n">
        <v>0</v>
      </c>
      <c r="D20" s="12">
        <f>B20+C20</f>
        <v/>
      </c>
      <c r="E20" s="13">
        <f>B20*B$14+C20*C$14</f>
        <v/>
      </c>
      <c r="F20" s="14">
        <f>B20*B$3+C20*C$3</f>
        <v/>
      </c>
      <c r="G20" s="15">
        <f>IF(E20&gt;0,F20/E20,"")</f>
        <v/>
      </c>
    </row>
    <row r="21">
      <c r="A21" s="3" t="inlineStr">
        <is>
          <t>80 / 20</t>
        </is>
      </c>
      <c r="B21" s="5" t="n">
        <v>40</v>
      </c>
      <c r="C21" s="5" t="n">
        <v>10</v>
      </c>
      <c r="D21" s="12">
        <f>B21+C21</f>
        <v/>
      </c>
      <c r="E21" s="13">
        <f>B21*B$14+C21*C$14</f>
        <v/>
      </c>
      <c r="F21" s="14">
        <f>B21*B$3+C21*C$3</f>
        <v/>
      </c>
      <c r="G21" s="15">
        <f>IF(E21&gt;0,F21/E21,"")</f>
        <v/>
      </c>
    </row>
    <row r="22">
      <c r="A22" s="3" t="inlineStr">
        <is>
          <t>60 / 40</t>
        </is>
      </c>
      <c r="B22" s="5" t="n">
        <v>30</v>
      </c>
      <c r="C22" s="5" t="n">
        <v>20</v>
      </c>
      <c r="D22" s="12">
        <f>B22+C22</f>
        <v/>
      </c>
      <c r="E22" s="13">
        <f>B22*B$14+C22*C$14</f>
        <v/>
      </c>
      <c r="F22" s="14">
        <f>B22*B$3+C22*C$3</f>
        <v/>
      </c>
      <c r="G22" s="15">
        <f>IF(E22&gt;0,F22/E22,"")</f>
        <v/>
      </c>
    </row>
    <row r="23">
      <c r="A23" s="3" t="inlineStr">
        <is>
          <t>50 / 50</t>
        </is>
      </c>
      <c r="B23" s="5" t="n">
        <v>25</v>
      </c>
      <c r="C23" s="5" t="n">
        <v>25</v>
      </c>
      <c r="D23" s="12">
        <f>B23+C23</f>
        <v/>
      </c>
      <c r="E23" s="13">
        <f>B23*B$14+C23*C$14</f>
        <v/>
      </c>
      <c r="F23" s="14">
        <f>B23*B$3+C23*C$3</f>
        <v/>
      </c>
      <c r="G23" s="15">
        <f>IF(E23&gt;0,F23/E23,"")</f>
        <v/>
      </c>
    </row>
    <row r="24">
      <c r="A24" s="3" t="inlineStr">
        <is>
          <t>40 / 60</t>
        </is>
      </c>
      <c r="B24" s="5" t="n">
        <v>20</v>
      </c>
      <c r="C24" s="5" t="n">
        <v>30</v>
      </c>
      <c r="D24" s="12">
        <f>B24+C24</f>
        <v/>
      </c>
      <c r="E24" s="13">
        <f>B24*B$14+C24*C$14</f>
        <v/>
      </c>
      <c r="F24" s="14">
        <f>B24*B$3+C24*C$3</f>
        <v/>
      </c>
      <c r="G24" s="15">
        <f>IF(E24&gt;0,F24/E24,"")</f>
        <v/>
      </c>
    </row>
    <row r="25">
      <c r="A25" s="3" t="inlineStr">
        <is>
          <t>20 / 80</t>
        </is>
      </c>
      <c r="B25" s="5" t="n">
        <v>10</v>
      </c>
      <c r="C25" s="5" t="n">
        <v>40</v>
      </c>
      <c r="D25" s="12">
        <f>B25+C25</f>
        <v/>
      </c>
      <c r="E25" s="13">
        <f>B25*B$14+C25*C$14</f>
        <v/>
      </c>
      <c r="F25" s="14">
        <f>B25*B$3+C25*C$3</f>
        <v/>
      </c>
      <c r="G25" s="15">
        <f>IF(E25&gt;0,F25/E25,"")</f>
        <v/>
      </c>
    </row>
    <row r="26">
      <c r="A26" s="3" t="inlineStr">
        <is>
          <t>100% Intensive</t>
        </is>
      </c>
      <c r="B26" s="5" t="n">
        <v>0</v>
      </c>
      <c r="C26" s="5" t="n">
        <v>50</v>
      </c>
      <c r="D26" s="12">
        <f>B26+C26</f>
        <v/>
      </c>
      <c r="E26" s="13">
        <f>B26*B$14+C26*C$14</f>
        <v/>
      </c>
      <c r="F26" s="14">
        <f>B26*B$3+C26*C$3</f>
        <v/>
      </c>
      <c r="G26" s="15">
        <f>IF(E26&gt;0,F26/E26,"")</f>
        <v/>
      </c>
    </row>
    <row r="28" ht="18" customHeight="1">
      <c r="A28" s="11" t="inlineStr">
        <is>
          <t>Panel Size: 60 patients</t>
        </is>
      </c>
    </row>
    <row r="29">
      <c r="A29" s="3" t="inlineStr">
        <is>
          <t>100% Essential</t>
        </is>
      </c>
      <c r="B29" s="5" t="n">
        <v>60</v>
      </c>
      <c r="C29" s="5" t="n">
        <v>0</v>
      </c>
      <c r="D29" s="12">
        <f>B29+C29</f>
        <v/>
      </c>
      <c r="E29" s="13">
        <f>B29*B$14+C29*C$14</f>
        <v/>
      </c>
      <c r="F29" s="14">
        <f>B29*B$3+C29*C$3</f>
        <v/>
      </c>
      <c r="G29" s="15">
        <f>IF(E29&gt;0,F29/E29,"")</f>
        <v/>
      </c>
    </row>
    <row r="30">
      <c r="A30" s="3" t="inlineStr">
        <is>
          <t>80 / 20</t>
        </is>
      </c>
      <c r="B30" s="5" t="n">
        <v>48</v>
      </c>
      <c r="C30" s="5" t="n">
        <v>12</v>
      </c>
      <c r="D30" s="12">
        <f>B30+C30</f>
        <v/>
      </c>
      <c r="E30" s="13">
        <f>B30*B$14+C30*C$14</f>
        <v/>
      </c>
      <c r="F30" s="14">
        <f>B30*B$3+C30*C$3</f>
        <v/>
      </c>
      <c r="G30" s="15">
        <f>IF(E30&gt;0,F30/E30,"")</f>
        <v/>
      </c>
    </row>
    <row r="31">
      <c r="A31" s="3" t="inlineStr">
        <is>
          <t>60 / 40</t>
        </is>
      </c>
      <c r="B31" s="5" t="n">
        <v>36</v>
      </c>
      <c r="C31" s="5" t="n">
        <v>24</v>
      </c>
      <c r="D31" s="12">
        <f>B31+C31</f>
        <v/>
      </c>
      <c r="E31" s="13">
        <f>B31*B$14+C31*C$14</f>
        <v/>
      </c>
      <c r="F31" s="14">
        <f>B31*B$3+C31*C$3</f>
        <v/>
      </c>
      <c r="G31" s="15">
        <f>IF(E31&gt;0,F31/E31,"")</f>
        <v/>
      </c>
    </row>
    <row r="32">
      <c r="A32" s="3" t="inlineStr">
        <is>
          <t>50 / 50</t>
        </is>
      </c>
      <c r="B32" s="5" t="n">
        <v>30</v>
      </c>
      <c r="C32" s="5" t="n">
        <v>30</v>
      </c>
      <c r="D32" s="12">
        <f>B32+C32</f>
        <v/>
      </c>
      <c r="E32" s="13">
        <f>B32*B$14+C32*C$14</f>
        <v/>
      </c>
      <c r="F32" s="14">
        <f>B32*B$3+C32*C$3</f>
        <v/>
      </c>
      <c r="G32" s="15">
        <f>IF(E32&gt;0,F32/E32,"")</f>
        <v/>
      </c>
    </row>
    <row r="33">
      <c r="A33" s="3" t="inlineStr">
        <is>
          <t>40 / 60</t>
        </is>
      </c>
      <c r="B33" s="5" t="n">
        <v>24</v>
      </c>
      <c r="C33" s="5" t="n">
        <v>36</v>
      </c>
      <c r="D33" s="12">
        <f>B33+C33</f>
        <v/>
      </c>
      <c r="E33" s="13">
        <f>B33*B$14+C33*C$14</f>
        <v/>
      </c>
      <c r="F33" s="14">
        <f>B33*B$3+C33*C$3</f>
        <v/>
      </c>
      <c r="G33" s="15">
        <f>IF(E33&gt;0,F33/E33,"")</f>
        <v/>
      </c>
    </row>
    <row r="34">
      <c r="A34" s="3" t="inlineStr">
        <is>
          <t>20 / 80</t>
        </is>
      </c>
      <c r="B34" s="5" t="n">
        <v>12</v>
      </c>
      <c r="C34" s="5" t="n">
        <v>48</v>
      </c>
      <c r="D34" s="12">
        <f>B34+C34</f>
        <v/>
      </c>
      <c r="E34" s="13">
        <f>B34*B$14+C34*C$14</f>
        <v/>
      </c>
      <c r="F34" s="14">
        <f>B34*B$3+C34*C$3</f>
        <v/>
      </c>
      <c r="G34" s="15">
        <f>IF(E34&gt;0,F34/E34,"")</f>
        <v/>
      </c>
    </row>
    <row r="35">
      <c r="A35" s="3" t="inlineStr">
        <is>
          <t>100% Intensive</t>
        </is>
      </c>
      <c r="B35" s="5" t="n">
        <v>0</v>
      </c>
      <c r="C35" s="5" t="n">
        <v>60</v>
      </c>
      <c r="D35" s="12">
        <f>B35+C35</f>
        <v/>
      </c>
      <c r="E35" s="13">
        <f>B35*B$14+C35*C$14</f>
        <v/>
      </c>
      <c r="F35" s="14">
        <f>B35*B$3+C35*C$3</f>
        <v/>
      </c>
      <c r="G35" s="15">
        <f>IF(E35&gt;0,F35/E35,"")</f>
        <v/>
      </c>
    </row>
  </sheetData>
  <mergeCells count="4">
    <mergeCell ref="A1:C1"/>
    <mergeCell ref="A19:G19"/>
    <mergeCell ref="A17:G17"/>
    <mergeCell ref="A28:G28"/>
  </mergeCells>
  <conditionalFormatting sqref="G20">
    <cfRule type="cellIs" priority="1" operator="greaterThanOrEqual" dxfId="0">
      <formula>500</formula>
    </cfRule>
  </conditionalFormatting>
  <conditionalFormatting sqref="G21">
    <cfRule type="cellIs" priority="1" operator="greaterThanOrEqual" dxfId="0">
      <formula>500</formula>
    </cfRule>
  </conditionalFormatting>
  <conditionalFormatting sqref="G22">
    <cfRule type="cellIs" priority="1" operator="greaterThanOrEqual" dxfId="0">
      <formula>500</formula>
    </cfRule>
  </conditionalFormatting>
  <conditionalFormatting sqref="G23">
    <cfRule type="cellIs" priority="1" operator="greaterThanOrEqual" dxfId="0">
      <formula>500</formula>
    </cfRule>
  </conditionalFormatting>
  <conditionalFormatting sqref="G24">
    <cfRule type="cellIs" priority="1" operator="greaterThanOrEqual" dxfId="0">
      <formula>500</formula>
    </cfRule>
  </conditionalFormatting>
  <conditionalFormatting sqref="G25">
    <cfRule type="cellIs" priority="1" operator="greaterThanOrEqual" dxfId="0">
      <formula>500</formula>
    </cfRule>
  </conditionalFormatting>
  <conditionalFormatting sqref="G26">
    <cfRule type="cellIs" priority="1" operator="greaterThanOrEqual" dxfId="0">
      <formula>500</formula>
    </cfRule>
  </conditionalFormatting>
  <conditionalFormatting sqref="G29">
    <cfRule type="cellIs" priority="1" operator="greaterThanOrEqual" dxfId="0">
      <formula>500</formula>
    </cfRule>
  </conditionalFormatting>
  <conditionalFormatting sqref="G30">
    <cfRule type="cellIs" priority="1" operator="greaterThanOrEqual" dxfId="0">
      <formula>500</formula>
    </cfRule>
  </conditionalFormatting>
  <conditionalFormatting sqref="G31">
    <cfRule type="cellIs" priority="1" operator="greaterThanOrEqual" dxfId="0">
      <formula>500</formula>
    </cfRule>
  </conditionalFormatting>
  <conditionalFormatting sqref="G32">
    <cfRule type="cellIs" priority="1" operator="greaterThanOrEqual" dxfId="0">
      <formula>500</formula>
    </cfRule>
  </conditionalFormatting>
  <conditionalFormatting sqref="G33">
    <cfRule type="cellIs" priority="1" operator="greaterThanOrEqual" dxfId="0">
      <formula>500</formula>
    </cfRule>
  </conditionalFormatting>
  <conditionalFormatting sqref="G34">
    <cfRule type="cellIs" priority="1" operator="greaterThanOrEqual" dxfId="0">
      <formula>500</formula>
    </cfRule>
  </conditionalFormatting>
  <conditionalFormatting sqref="G35">
    <cfRule type="cellIs" priority="1" operator="greaterThanOrEqual" dxfId="0">
      <formula>500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2026-05-07T16:38:05Z</dcterms:created>
  <dcterms:modified xsi:type="dcterms:W3CDTF">2026-05-07T16:38:05Z</dcterms:modified>
</cp:coreProperties>
</file>