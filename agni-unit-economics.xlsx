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⚙️ Assumptions" sheetId="2" state="visible" r:id="rId2"/>
    <sheet name="📨 Async Sensitivity" sheetId="3" state="visible" r:id="rId3"/>
    <sheet name="💰 Income Model" sheetId="4" state="visible" r:id="rId4"/>
    <sheet name="⏱️ Time 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0.00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sz val="11"/>
    </font>
    <font>
      <name val="Calibri"/>
      <color rgb="00666666"/>
      <sz val="11"/>
    </font>
    <font>
      <name val="Calibri"/>
      <b val="1"/>
      <color rgb="000A1628"/>
      <sz val="10"/>
    </font>
    <font>
      <name val="Calibri"/>
      <b val="1"/>
      <color rgb="00D4A088"/>
      <sz val="11"/>
    </font>
    <font>
      <name val="Calibri"/>
      <b val="1"/>
      <color rgb="00D4A088"/>
      <sz val="12"/>
    </font>
    <font>
      <name val="Calibri"/>
      <b val="1"/>
      <color rgb="00D4A088"/>
      <sz val="10"/>
    </font>
    <font>
      <name val="Calibri"/>
      <b val="1"/>
      <sz val="10"/>
    </font>
    <font>
      <name val="Calibri"/>
      <b val="1"/>
      <color rgb="00C62828"/>
      <sz val="10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sz val="18"/>
    </font>
    <font>
      <name val="Calibri"/>
      <color rgb="00666666"/>
      <sz val="10"/>
    </font>
  </fonts>
  <fills count="1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D4A088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D6E4F0"/>
      </patternFill>
    </fill>
    <fill>
      <patternFill patternType="solid">
        <fgColor rgb="00FFEBEE"/>
      </patternFill>
    </fill>
    <fill>
      <patternFill patternType="solid">
        <fgColor rgb="001C2E44"/>
      </patternFill>
    </fill>
    <fill>
      <patternFill patternType="solid">
        <fgColor rgb="002E7D32"/>
      </patternFill>
    </fill>
    <fill>
      <patternFill patternType="solid">
        <fgColor rgb="00444444"/>
      </patternFill>
    </fill>
    <fill>
      <patternFill patternType="solid">
        <fgColor rgb="00C0392B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15" fillId="4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1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3" fillId="12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164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164" fontId="10" fillId="8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9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A088"/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 ht="44" customHeight="1">
      <c r="A1" s="1" t="inlineStr">
        <is>
          <t>Agni Health — Unit Economics Dashboard</t>
        </is>
      </c>
    </row>
    <row r="2" ht="22" customHeight="1">
      <c r="A2" s="2" t="inlineStr">
        <is>
          <t>Default: E=2 msgs/mo, I=4 msgs/mo, 2 CGM/mo, 5 min charting</t>
        </is>
      </c>
    </row>
    <row r="4">
      <c r="A4" s="3" t="inlineStr">
        <is>
          <t>Essential $/hr</t>
        </is>
      </c>
      <c r="B4" s="4" t="inlineStr">
        <is>
          <t>$435</t>
        </is>
      </c>
    </row>
    <row r="5">
      <c r="A5" s="5" t="n"/>
      <c r="B5" s="6" t="inlineStr">
        <is>
          <t>At default assumptions</t>
        </is>
      </c>
    </row>
    <row r="7">
      <c r="A7" s="7" t="inlineStr">
        <is>
          <t>Intensive $/hr</t>
        </is>
      </c>
      <c r="B7" s="4" t="inlineStr">
        <is>
          <t>$281</t>
        </is>
      </c>
    </row>
    <row r="8">
      <c r="A8" s="8" t="n"/>
      <c r="B8" s="6" t="inlineStr">
        <is>
          <t>Monthly visits + CGM overhead</t>
        </is>
      </c>
    </row>
    <row r="10">
      <c r="A10" s="9" t="inlineStr">
        <is>
          <t>E total hrs/patient/yr</t>
        </is>
      </c>
      <c r="B10" s="4" t="inlineStr">
        <is>
          <t>8.3 hrs</t>
        </is>
      </c>
    </row>
    <row r="11">
      <c r="A11" s="10" t="n"/>
      <c r="B11" s="6" t="inlineStr">
        <is>
          <t>All activities combined</t>
        </is>
      </c>
    </row>
    <row r="13">
      <c r="A13" s="9" t="inlineStr">
        <is>
          <t>I total hrs/patient/yr</t>
        </is>
      </c>
      <c r="B13" s="4" t="inlineStr">
        <is>
          <t>25.6 hrs</t>
        </is>
      </c>
    </row>
    <row r="14">
      <c r="A14" s="10" t="n"/>
      <c r="B14" s="6" t="inlineStr">
        <is>
          <t>All activities combined</t>
        </is>
      </c>
    </row>
    <row r="16">
      <c r="A16" s="11" t="inlineStr">
        <is>
          <t>Async crossover</t>
        </is>
      </c>
      <c r="B16" s="4" t="inlineStr">
        <is>
          <t>~7 msgs/mo</t>
        </is>
      </c>
    </row>
    <row r="17">
      <c r="A17" s="12" t="n"/>
      <c r="B17" s="6" t="inlineStr">
        <is>
          <t>Where Essential ≈ Intensive on $/hr</t>
        </is>
      </c>
    </row>
    <row r="19">
      <c r="A19" s="3" t="inlineStr">
        <is>
          <t>$500K panel</t>
        </is>
      </c>
      <c r="B19" s="4" t="inlineStr">
        <is>
          <t>~55 patients</t>
        </is>
      </c>
    </row>
    <row r="20">
      <c r="A20" s="5" t="n"/>
      <c r="B20" s="6" t="inlineStr">
        <is>
          <t>40/40/20 mix, ~18-19 hrs/week</t>
        </is>
      </c>
    </row>
    <row r="23">
      <c r="A23" s="13" t="inlineStr">
        <is>
          <t>KEY INSIGHT</t>
        </is>
      </c>
    </row>
    <row r="24" ht="90" customHeight="1">
      <c r="A24" s="14" t="inlineStr">
        <is>
          <t>Essential is more efficient per hour ($435/hr vs $281/hr) at defaults. Intensive only wins on $/hr when async volume stays below ~7 msgs/month. The real advantage of Intensive is higher revenue per patient ($7,200 vs $3,600). Go to '📨 Async Sensitivity' to find your real crossover point. Change yellow cells on '⚙️ Assumptions' — $/hr updates automatically.</t>
        </is>
      </c>
    </row>
    <row r="25"/>
    <row r="26"/>
  </sheetData>
  <mergeCells count="22">
    <mergeCell ref="B16:C16"/>
    <mergeCell ref="B7:C7"/>
    <mergeCell ref="A7:A8"/>
    <mergeCell ref="A16:A17"/>
    <mergeCell ref="A2:C2"/>
    <mergeCell ref="B11:C11"/>
    <mergeCell ref="A23:C23"/>
    <mergeCell ref="B14:C14"/>
    <mergeCell ref="B17:C17"/>
    <mergeCell ref="B8:C8"/>
    <mergeCell ref="B13:C13"/>
    <mergeCell ref="A4:A5"/>
    <mergeCell ref="A13:A14"/>
    <mergeCell ref="B19:C19"/>
    <mergeCell ref="B10:C10"/>
    <mergeCell ref="A10:A11"/>
    <mergeCell ref="A19:A20"/>
    <mergeCell ref="A24:C26"/>
    <mergeCell ref="A1:C1"/>
    <mergeCell ref="B5:C5"/>
    <mergeCell ref="B20:C20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8" customWidth="1" min="4" max="4"/>
  </cols>
  <sheetData>
    <row r="1" ht="40" customHeight="1">
      <c r="A1" s="15" t="inlineStr">
        <is>
          <t>Agni Health — Unit Economics Model</t>
        </is>
      </c>
    </row>
    <row r="2" ht="22" customHeight="1">
      <c r="A2" s="2" t="inlineStr">
        <is>
          <t>Change yellow cells — totals &amp; $/hr update automatically</t>
        </is>
      </c>
    </row>
    <row r="4">
      <c r="A4" s="13" t="inlineStr">
        <is>
          <t>PRICING</t>
        </is>
      </c>
    </row>
    <row r="5">
      <c r="A5" s="16" t="inlineStr">
        <is>
          <t>Parameter</t>
        </is>
      </c>
      <c r="B5" s="16" t="inlineStr">
        <is>
          <t>Essential</t>
        </is>
      </c>
      <c r="C5" s="16" t="inlineStr">
        <is>
          <t>Intensive</t>
        </is>
      </c>
      <c r="D5" s="16" t="inlineStr">
        <is>
          <t>Notes</t>
        </is>
      </c>
    </row>
    <row r="6">
      <c r="A6" s="17" t="inlineStr">
        <is>
          <t>Annual revenue / patient</t>
        </is>
      </c>
      <c r="B6" s="18" t="inlineStr">
        <is>
          <t>$3,600</t>
        </is>
      </c>
      <c r="C6" s="18" t="inlineStr">
        <is>
          <t>$7,200</t>
        </is>
      </c>
      <c r="D6" s="19" t="inlineStr">
        <is>
          <t>Founding member pricing</t>
        </is>
      </c>
    </row>
    <row r="7">
      <c r="A7" s="17" t="inlineStr">
        <is>
          <t>Monthly equivalent</t>
        </is>
      </c>
      <c r="B7" s="18" t="inlineStr">
        <is>
          <t>$300</t>
        </is>
      </c>
      <c r="C7" s="18" t="inlineStr">
        <is>
          <t>$600</t>
        </is>
      </c>
      <c r="D7" s="19" t="inlineStr">
        <is>
          <t>Annual ÷ 12</t>
        </is>
      </c>
    </row>
    <row r="8">
      <c r="A8" s="17" t="inlineStr">
        <is>
          <t>Initial consult (one-time)</t>
        </is>
      </c>
      <c r="B8" s="18" t="inlineStr">
        <is>
          <t>$350</t>
        </is>
      </c>
      <c r="C8" s="18" t="inlineStr">
        <is>
          <t>$350</t>
        </is>
      </c>
      <c r="D8" s="19" t="inlineStr">
        <is>
          <t>Credited toward 1st/2nd month</t>
        </is>
      </c>
    </row>
    <row r="10">
      <c r="A10" s="13" t="inlineStr">
        <is>
          <t>VISIT TIME  (hard / known)</t>
        </is>
      </c>
    </row>
    <row r="11">
      <c r="A11" s="16" t="inlineStr">
        <is>
          <t>Parameter</t>
        </is>
      </c>
      <c r="B11" s="16" t="inlineStr">
        <is>
          <t>Essential</t>
        </is>
      </c>
      <c r="C11" s="16" t="inlineStr">
        <is>
          <t>Intensive</t>
        </is>
      </c>
      <c r="D11" s="16" t="inlineStr">
        <is>
          <t>Notes</t>
        </is>
      </c>
    </row>
    <row r="12">
      <c r="A12" s="17" t="inlineStr">
        <is>
          <t>Visits per year</t>
        </is>
      </c>
      <c r="B12" s="20" t="n">
        <v>4</v>
      </c>
      <c r="C12" s="20" t="n">
        <v>12</v>
      </c>
      <c r="D12" s="19" t="inlineStr">
        <is>
          <t>Quarterly (4) vs Monthly (12)</t>
        </is>
      </c>
    </row>
    <row r="13">
      <c r="A13" s="17" t="inlineStr">
        <is>
          <t>Minutes per visit</t>
        </is>
      </c>
      <c r="B13" s="20" t="n">
        <v>20</v>
      </c>
      <c r="C13" s="20" t="n">
        <v>20</v>
      </c>
      <c r="D13" s="19" t="inlineStr">
        <is>
          <t>Standard follow-up</t>
        </is>
      </c>
    </row>
    <row r="14">
      <c r="A14" s="17" t="inlineStr">
        <is>
          <t>Total visit min/year</t>
        </is>
      </c>
      <c r="B14" s="18">
        <f>B12*B13</f>
        <v/>
      </c>
      <c r="C14" s="18">
        <f>C12*C13</f>
        <v/>
      </c>
      <c r="D14" s="19" t="inlineStr">
        <is>
          <t>Visits × min/visit</t>
        </is>
      </c>
    </row>
    <row r="15">
      <c r="A15" s="17" t="inlineStr">
        <is>
          <t>Total visit hrs/year</t>
        </is>
      </c>
      <c r="B15" s="18">
        <f>B14/60</f>
        <v/>
      </c>
      <c r="C15" s="18">
        <f>C14/60</f>
        <v/>
      </c>
      <c r="D15" s="19" t="inlineStr">
        <is>
          <t>min ÷ 60</t>
        </is>
      </c>
    </row>
    <row r="17">
      <c r="A17" s="13" t="inlineStr">
        <is>
          <t>OTHER TIME  (🟡 yellow = change me)</t>
        </is>
      </c>
    </row>
    <row r="18">
      <c r="A18" s="16" t="inlineStr">
        <is>
          <t>Activity</t>
        </is>
      </c>
      <c r="B18" s="16" t="inlineStr">
        <is>
          <t>Essential</t>
        </is>
      </c>
      <c r="C18" s="16" t="inlineStr">
        <is>
          <t>Intensive</t>
        </is>
      </c>
      <c r="D18" s="16" t="inlineStr">
        <is>
          <t>Notes</t>
        </is>
      </c>
    </row>
    <row r="19">
      <c r="A19" s="21" t="inlineStr">
        <is>
          <t>── ASYNC MESSAGING ──</t>
        </is>
      </c>
      <c r="B19" s="22" t="n"/>
      <c r="C19" s="22" t="n"/>
      <c r="D19" s="22" t="n"/>
    </row>
    <row r="20">
      <c r="A20" s="17" t="inlineStr">
        <is>
          <t>Messages per month</t>
        </is>
      </c>
      <c r="B20" s="20" t="n">
        <v>2</v>
      </c>
      <c r="C20" s="20" t="n">
        <v>4</v>
      </c>
      <c r="D20" s="19" t="inlineStr">
        <is>
          <t>🔑 KEY variable — try 1–15</t>
        </is>
      </c>
    </row>
    <row r="21">
      <c r="A21" s="17" t="inlineStr">
        <is>
          <t>Minutes per message</t>
        </is>
      </c>
      <c r="B21" s="20" t="n">
        <v>5</v>
      </c>
      <c r="C21" s="20" t="n">
        <v>5</v>
      </c>
      <c r="D21" s="19" t="inlineStr">
        <is>
          <t>Reading + typing response</t>
        </is>
      </c>
    </row>
    <row r="22">
      <c r="A22" s="17" t="inlineStr">
        <is>
          <t>Async min/year</t>
        </is>
      </c>
      <c r="B22" s="18">
        <f>B20*B21*12</f>
        <v/>
      </c>
      <c r="C22" s="18">
        <f>C20*C21*12</f>
        <v/>
      </c>
      <c r="D22" s="19" t="inlineStr">
        <is>
          <t>msgs × min × 12  |  refs rows 20&amp;21</t>
        </is>
      </c>
    </row>
    <row r="23">
      <c r="A23" s="21" t="inlineStr">
        <is>
          <t>── LABS ──</t>
        </is>
      </c>
      <c r="B23" s="22" t="n"/>
      <c r="C23" s="22" t="n"/>
      <c r="D23" s="22" t="n"/>
    </row>
    <row r="24">
      <c r="A24" s="17" t="inlineStr">
        <is>
          <t>Reviews per year</t>
        </is>
      </c>
      <c r="B24" s="20" t="n">
        <v>2</v>
      </c>
      <c r="C24" s="20" t="n">
        <v>12</v>
      </c>
      <c r="D24" s="19" t="inlineStr">
        <is>
          <t>Essential: 2×/yr  |  Intensive: monthly</t>
        </is>
      </c>
    </row>
    <row r="25">
      <c r="A25" s="17" t="inlineStr">
        <is>
          <t>Minutes per review</t>
        </is>
      </c>
      <c r="B25" s="20" t="n">
        <v>10</v>
      </c>
      <c r="C25" s="20" t="n">
        <v>10</v>
      </c>
      <c r="D25" s="19" t="inlineStr">
        <is>
          <t>Review + send result message</t>
        </is>
      </c>
    </row>
    <row r="26">
      <c r="A26" s="17" t="inlineStr">
        <is>
          <t>Labs min/year</t>
        </is>
      </c>
      <c r="B26" s="18">
        <f>B24*B25</f>
        <v/>
      </c>
      <c r="C26" s="18">
        <f>C24*C25</f>
        <v/>
      </c>
      <c r="D26" s="19" t="inlineStr">
        <is>
          <t>reviews × min  |  refs rows 24&amp;25</t>
        </is>
      </c>
    </row>
    <row r="27">
      <c r="A27" s="21" t="inlineStr">
        <is>
          <t>── RX / ADMIN ──</t>
        </is>
      </c>
      <c r="B27" s="22" t="n"/>
      <c r="C27" s="22" t="n"/>
      <c r="D27" s="22" t="n"/>
    </row>
    <row r="28">
      <c r="A28" s="17" t="inlineStr">
        <is>
          <t>Renewals per month</t>
        </is>
      </c>
      <c r="B28" s="20" t="n">
        <v>1</v>
      </c>
      <c r="C28" s="20" t="n">
        <v>2</v>
      </c>
      <c r="D28" s="19" t="inlineStr">
        <is>
          <t>Prescriptions + prior auth</t>
        </is>
      </c>
    </row>
    <row r="29">
      <c r="A29" s="17" t="inlineStr">
        <is>
          <t>Minutes per renewal</t>
        </is>
      </c>
      <c r="B29" s="20" t="n">
        <v>3</v>
      </c>
      <c r="C29" s="20" t="n">
        <v>4</v>
      </c>
      <c r="D29" s="19" t="inlineStr">
        <is>
          <t>Write Rx + send to pharmacy</t>
        </is>
      </c>
    </row>
    <row r="30">
      <c r="A30" s="17" t="inlineStr">
        <is>
          <t>Rx min/year</t>
        </is>
      </c>
      <c r="B30" s="18">
        <f>B28*B29*12</f>
        <v/>
      </c>
      <c r="C30" s="18">
        <f>C28*C29*12</f>
        <v/>
      </c>
      <c r="D30" s="19" t="inlineStr">
        <is>
          <t>renewals × min × 12  |  refs rows 28&amp;29</t>
        </is>
      </c>
    </row>
    <row r="31">
      <c r="A31" s="21" t="inlineStr">
        <is>
          <t>── CGM (Intensive only) ──</t>
        </is>
      </c>
      <c r="B31" s="22" t="n"/>
      <c r="C31" s="22" t="n"/>
      <c r="D31" s="22" t="n"/>
    </row>
    <row r="32">
      <c r="A32" s="17" t="inlineStr">
        <is>
          <t>Reviews per month</t>
        </is>
      </c>
      <c r="B32" s="20" t="n">
        <v>0</v>
      </c>
      <c r="C32" s="20" t="n">
        <v>2</v>
      </c>
      <c r="D32" s="19" t="inlineStr">
        <is>
          <t>Essential: 0  |  Intensive: 2×/mo</t>
        </is>
      </c>
    </row>
    <row r="33">
      <c r="A33" s="17" t="inlineStr">
        <is>
          <t>Minutes per CGM review</t>
        </is>
      </c>
      <c r="B33" s="20" t="n">
        <v>0</v>
      </c>
      <c r="C33" s="20" t="n">
        <v>10</v>
      </c>
      <c r="D33" s="19" t="inlineStr">
        <is>
          <t>Data pull + interpretation</t>
        </is>
      </c>
    </row>
    <row r="34">
      <c r="A34" s="17" t="inlineStr">
        <is>
          <t>CGM min/year</t>
        </is>
      </c>
      <c r="B34" s="18">
        <f>B32*B33*12</f>
        <v/>
      </c>
      <c r="C34" s="18">
        <f>C32*C33*12</f>
        <v/>
      </c>
      <c r="D34" s="19" t="inlineStr">
        <is>
          <t>reviews × min × 12  |  refs rows 32&amp;33</t>
        </is>
      </c>
    </row>
    <row r="35">
      <c r="A35" s="21" t="inlineStr">
        <is>
          <t>── CHARTING ──</t>
        </is>
      </c>
      <c r="B35" s="22" t="n"/>
      <c r="C35" s="22" t="n"/>
      <c r="D35" s="22" t="n"/>
    </row>
    <row r="36">
      <c r="A36" s="17" t="inlineStr">
        <is>
          <t>Interactions per month</t>
        </is>
      </c>
      <c r="B36" s="20" t="n">
        <v>4</v>
      </c>
      <c r="C36" s="20" t="n">
        <v>10</v>
      </c>
      <c r="D36" s="19" t="inlineStr">
        <is>
          <t>Visits + async + labs (rough count)</t>
        </is>
      </c>
    </row>
    <row r="37">
      <c r="A37" s="17" t="inlineStr">
        <is>
          <t>Charting min / interaction</t>
        </is>
      </c>
      <c r="B37" s="20" t="n">
        <v>5</v>
      </c>
      <c r="C37" s="20" t="n">
        <v>5</v>
      </c>
      <c r="D37" s="19" t="inlineStr">
        <is>
          <t>SOAP or async note</t>
        </is>
      </c>
    </row>
    <row r="38">
      <c r="A38" s="17" t="inlineStr">
        <is>
          <t>Charting min/year</t>
        </is>
      </c>
      <c r="B38" s="18">
        <f>B36*B37*12</f>
        <v/>
      </c>
      <c r="C38" s="18">
        <f>C36*C37*12</f>
        <v/>
      </c>
      <c r="D38" s="19" t="inlineStr">
        <is>
          <t>interactions × min × 12  |  refs rows 36&amp;37</t>
        </is>
      </c>
    </row>
    <row r="40">
      <c r="A40" s="13" t="inlineStr">
        <is>
          <t>TOTALS</t>
        </is>
      </c>
    </row>
    <row r="41">
      <c r="A41" s="16" t="inlineStr">
        <is>
          <t>Component</t>
        </is>
      </c>
      <c r="B41" s="16" t="inlineStr">
        <is>
          <t>Essential (min/yr)</t>
        </is>
      </c>
      <c r="C41" s="16" t="inlineStr">
        <is>
          <t>Intensive (min/yr)</t>
        </is>
      </c>
      <c r="D41" s="16" t="inlineStr">
        <is>
          <t>Notes</t>
        </is>
      </c>
    </row>
    <row r="42">
      <c r="A42" s="17" t="inlineStr">
        <is>
          <t>Visit time</t>
        </is>
      </c>
      <c r="B42" s="23">
        <f>B14</f>
        <v/>
      </c>
      <c r="C42" s="23">
        <f>C14</f>
        <v/>
      </c>
      <c r="D42" s="19" t="inlineStr">
        <is>
          <t>Known / fixed</t>
        </is>
      </c>
    </row>
    <row r="43">
      <c r="A43" s="17" t="inlineStr">
        <is>
          <t>Async messaging</t>
        </is>
      </c>
      <c r="B43" s="23">
        <f>B22</f>
        <v/>
      </c>
      <c r="C43" s="23">
        <f>C22</f>
        <v/>
      </c>
      <c r="D43" s="19" t="inlineStr">
        <is>
          <t>Scales with msg volume</t>
        </is>
      </c>
    </row>
    <row r="44">
      <c r="A44" s="17" t="inlineStr">
        <is>
          <t>Labs</t>
        </is>
      </c>
      <c r="B44" s="23">
        <f>B26</f>
        <v/>
      </c>
      <c r="C44" s="23">
        <f>C26</f>
        <v/>
      </c>
      <c r="D44" s="19" t="inlineStr"/>
    </row>
    <row r="45">
      <c r="A45" s="17" t="inlineStr">
        <is>
          <t>Rx / Admin</t>
        </is>
      </c>
      <c r="B45" s="23">
        <f>B30</f>
        <v/>
      </c>
      <c r="C45" s="23">
        <f>C30</f>
        <v/>
      </c>
      <c r="D45" s="19" t="inlineStr"/>
    </row>
    <row r="46">
      <c r="A46" s="17" t="inlineStr">
        <is>
          <t>CGM</t>
        </is>
      </c>
      <c r="B46" s="23">
        <f>B34</f>
        <v/>
      </c>
      <c r="C46" s="23">
        <f>C34</f>
        <v/>
      </c>
      <c r="D46" s="19" t="inlineStr">
        <is>
          <t>Intensive only</t>
        </is>
      </c>
    </row>
    <row r="47">
      <c r="A47" s="17" t="inlineStr">
        <is>
          <t>Charting</t>
        </is>
      </c>
      <c r="B47" s="23">
        <f>B38</f>
        <v/>
      </c>
      <c r="C47" s="23">
        <f>C38</f>
        <v/>
      </c>
      <c r="D47" s="19" t="inlineStr"/>
    </row>
    <row r="48">
      <c r="A48" s="24" t="inlineStr">
        <is>
          <t>TOTAL min / year</t>
        </is>
      </c>
      <c r="B48" s="25">
        <f>SUM(B42:B47)</f>
        <v/>
      </c>
      <c r="C48" s="25">
        <f>SUM(C42:C47)</f>
        <v/>
      </c>
      <c r="D48" s="25" t="inlineStr"/>
    </row>
    <row r="49">
      <c r="A49" s="24" t="inlineStr">
        <is>
          <t>TOTAL hrs / year</t>
        </is>
      </c>
      <c r="B49" s="25">
        <f>B48/60</f>
        <v/>
      </c>
      <c r="C49" s="25">
        <f>C48/60</f>
        <v/>
      </c>
      <c r="D49" s="25" t="inlineStr"/>
    </row>
    <row r="50">
      <c r="A50" s="24" t="inlineStr">
        <is>
          <t>TOTAL min / week</t>
        </is>
      </c>
      <c r="B50" s="25">
        <f>B48/52</f>
        <v/>
      </c>
      <c r="C50" s="25">
        <f>C48/52</f>
        <v/>
      </c>
      <c r="D50" s="25" t="inlineStr"/>
    </row>
    <row r="51">
      <c r="A51" s="24" t="inlineStr">
        <is>
          <t>TOTAL hrs / week</t>
        </is>
      </c>
      <c r="B51" s="25">
        <f>B50/60</f>
        <v/>
      </c>
      <c r="C51" s="25">
        <f>C50/60</f>
        <v/>
      </c>
      <c r="D51" s="25" t="inlineStr"/>
    </row>
    <row r="53">
      <c r="A53" s="13" t="inlineStr">
        <is>
          <t>UNIT ECONOMICS  $/hr</t>
        </is>
      </c>
    </row>
    <row r="54">
      <c r="A54" s="16" t="inlineStr">
        <is>
          <t>Metric</t>
        </is>
      </c>
      <c r="B54" s="16" t="inlineStr">
        <is>
          <t>Essential</t>
        </is>
      </c>
      <c r="C54" s="16" t="inlineStr">
        <is>
          <t>Intensive</t>
        </is>
      </c>
      <c r="D54" s="16" t="inlineStr">
        <is>
          <t>Notes</t>
        </is>
      </c>
    </row>
    <row r="55">
      <c r="A55" s="17" t="inlineStr">
        <is>
          <t>Annual revenue / patient</t>
        </is>
      </c>
      <c r="B55" s="26" t="n">
        <v>3600</v>
      </c>
      <c r="C55" s="26" t="n">
        <v>7200</v>
      </c>
      <c r="D55" s="19" t="inlineStr">
        <is>
          <t>🟡 Update when pricing changes</t>
        </is>
      </c>
    </row>
    <row r="56">
      <c r="A56" s="17" t="inlineStr">
        <is>
          <t>Total hrs / year</t>
        </is>
      </c>
      <c r="B56" s="18">
        <f>B49</f>
        <v/>
      </c>
      <c r="C56" s="18">
        <f>C49</f>
        <v/>
      </c>
      <c r="D56" s="19" t="inlineStr">
        <is>
          <t>From totals above</t>
        </is>
      </c>
    </row>
    <row r="57">
      <c r="A57" s="27" t="inlineStr">
        <is>
          <t>★  Revenue per hour  ($/hr)</t>
        </is>
      </c>
      <c r="B57" s="28">
        <f>B55/B56</f>
        <v/>
      </c>
      <c r="C57" s="28">
        <f>C55/C56</f>
        <v/>
      </c>
      <c r="D57" s="29" t="inlineStr">
        <is>
          <t>THE KEY METRIC</t>
        </is>
      </c>
    </row>
    <row r="58">
      <c r="A58" s="17" t="inlineStr">
        <is>
          <t>Revenue per week</t>
        </is>
      </c>
      <c r="B58" s="30">
        <f>B55/52</f>
        <v/>
      </c>
      <c r="C58" s="30">
        <f>C55/52</f>
        <v/>
      </c>
      <c r="D58" s="19" t="inlineStr">
        <is>
          <t>Annual ÷ 52</t>
        </is>
      </c>
    </row>
    <row r="59">
      <c r="A59" s="17" t="inlineStr">
        <is>
          <t>Revenue per minute</t>
        </is>
      </c>
      <c r="B59" s="31">
        <f>B55/B48</f>
        <v/>
      </c>
      <c r="C59" s="31">
        <f>C55/C48</f>
        <v/>
      </c>
      <c r="D59" s="19" t="inlineStr">
        <is>
          <t>Annual ÷ total min/yr</t>
        </is>
      </c>
    </row>
  </sheetData>
  <mergeCells count="7">
    <mergeCell ref="A1:D1"/>
    <mergeCell ref="A17:D17"/>
    <mergeCell ref="A40:D40"/>
    <mergeCell ref="A53:D53"/>
    <mergeCell ref="A4:D4"/>
    <mergeCell ref="A2:D2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 ht="40" customHeight="1">
      <c r="A1" s="15" t="inlineStr">
        <is>
          <t>Sensitivity: Async Messages / Month → $/hr</t>
        </is>
      </c>
    </row>
    <row r="2" ht="22" customHeight="1">
      <c r="A2" s="2" t="inlineStr">
        <is>
          <t>All other assumptions held at defaults. Green = higher $/hr for that tier.</t>
        </is>
      </c>
    </row>
    <row r="4">
      <c r="A4" s="16" t="inlineStr">
        <is>
          <t>Msgs/mo (E) | I=2×</t>
        </is>
      </c>
      <c r="B4" s="16" t="inlineStr">
        <is>
          <t>E hrs/yr</t>
        </is>
      </c>
      <c r="C4" s="16" t="inlineStr">
        <is>
          <t>E $/hr</t>
        </is>
      </c>
      <c r="D4" s="16" t="inlineStr">
        <is>
          <t>I hrs/yr</t>
        </is>
      </c>
      <c r="E4" s="16" t="inlineStr">
        <is>
          <t>I $/hr</t>
        </is>
      </c>
      <c r="F4" s="16" t="inlineStr">
        <is>
          <t>Winner</t>
        </is>
      </c>
    </row>
    <row r="5">
      <c r="A5" s="23" t="n">
        <v>1</v>
      </c>
      <c r="B5" s="23" t="n">
        <v>7.3</v>
      </c>
      <c r="C5" s="30" t="n">
        <v>495</v>
      </c>
      <c r="D5" s="23" t="n">
        <v>23.6</v>
      </c>
      <c r="E5" s="32" t="n">
        <v>305</v>
      </c>
      <c r="F5" s="33" t="inlineStr">
        <is>
          <t>Essential</t>
        </is>
      </c>
    </row>
    <row r="6">
      <c r="A6" s="34" t="inlineStr">
        <is>
          <t>2 ← default</t>
        </is>
      </c>
      <c r="B6" s="35" t="n">
        <v>8.300000000000001</v>
      </c>
      <c r="C6" s="36" t="n">
        <v>435</v>
      </c>
      <c r="D6" s="35" t="n">
        <v>25.6</v>
      </c>
      <c r="E6" s="37" t="n">
        <v>281</v>
      </c>
      <c r="F6" s="33" t="inlineStr">
        <is>
          <t>Essential</t>
        </is>
      </c>
    </row>
    <row r="7">
      <c r="A7" s="23" t="n">
        <v>3</v>
      </c>
      <c r="B7" s="23" t="n">
        <v>9.300000000000001</v>
      </c>
      <c r="C7" s="30" t="n">
        <v>388</v>
      </c>
      <c r="D7" s="23" t="n">
        <v>27.6</v>
      </c>
      <c r="E7" s="32" t="n">
        <v>261</v>
      </c>
      <c r="F7" s="33" t="inlineStr">
        <is>
          <t>Essential</t>
        </is>
      </c>
    </row>
    <row r="8">
      <c r="A8" s="23" t="n">
        <v>4</v>
      </c>
      <c r="B8" s="23" t="n">
        <v>10.3</v>
      </c>
      <c r="C8" s="30" t="n">
        <v>351</v>
      </c>
      <c r="D8" s="23" t="n">
        <v>29.6</v>
      </c>
      <c r="E8" s="32" t="n">
        <v>243</v>
      </c>
      <c r="F8" s="33" t="inlineStr">
        <is>
          <t>Essential</t>
        </is>
      </c>
    </row>
    <row r="9">
      <c r="A9" s="23" t="n">
        <v>5</v>
      </c>
      <c r="B9" s="23" t="n">
        <v>11.3</v>
      </c>
      <c r="C9" s="30" t="n">
        <v>320</v>
      </c>
      <c r="D9" s="23" t="n">
        <v>31.6</v>
      </c>
      <c r="E9" s="32" t="n">
        <v>228</v>
      </c>
      <c r="F9" s="33" t="inlineStr">
        <is>
          <t>Essential</t>
        </is>
      </c>
    </row>
    <row r="10">
      <c r="A10" s="23" t="n">
        <v>6</v>
      </c>
      <c r="B10" s="23" t="n">
        <v>12.3</v>
      </c>
      <c r="C10" s="30" t="n">
        <v>293</v>
      </c>
      <c r="D10" s="23" t="n">
        <v>33.6</v>
      </c>
      <c r="E10" s="32" t="n">
        <v>214</v>
      </c>
      <c r="F10" s="33" t="inlineStr">
        <is>
          <t>Essential</t>
        </is>
      </c>
    </row>
    <row r="11">
      <c r="A11" s="23" t="n">
        <v>7</v>
      </c>
      <c r="B11" s="23" t="n">
        <v>13.3</v>
      </c>
      <c r="C11" s="30" t="n">
        <v>271</v>
      </c>
      <c r="D11" s="23" t="n">
        <v>35.6</v>
      </c>
      <c r="E11" s="32" t="n">
        <v>202</v>
      </c>
      <c r="F11" s="33" t="inlineStr">
        <is>
          <t>Essential</t>
        </is>
      </c>
    </row>
    <row r="12">
      <c r="A12" s="23" t="n">
        <v>8</v>
      </c>
      <c r="B12" s="23" t="n">
        <v>14.3</v>
      </c>
      <c r="C12" s="30" t="n">
        <v>252</v>
      </c>
      <c r="D12" s="23" t="n">
        <v>37.6</v>
      </c>
      <c r="E12" s="32" t="n">
        <v>191</v>
      </c>
      <c r="F12" s="33" t="inlineStr">
        <is>
          <t>Essential</t>
        </is>
      </c>
    </row>
    <row r="13">
      <c r="A13" s="23" t="n">
        <v>10</v>
      </c>
      <c r="B13" s="23" t="n">
        <v>16.3</v>
      </c>
      <c r="C13" s="30" t="n">
        <v>221</v>
      </c>
      <c r="D13" s="23" t="n">
        <v>41.6</v>
      </c>
      <c r="E13" s="32" t="n">
        <v>173</v>
      </c>
      <c r="F13" s="33" t="inlineStr">
        <is>
          <t>Essential</t>
        </is>
      </c>
    </row>
    <row r="14">
      <c r="A14" s="23" t="n">
        <v>12</v>
      </c>
      <c r="B14" s="23" t="n">
        <v>18.3</v>
      </c>
      <c r="C14" s="30" t="n">
        <v>197</v>
      </c>
      <c r="D14" s="23" t="n">
        <v>45.6</v>
      </c>
      <c r="E14" s="32" t="n">
        <v>158</v>
      </c>
      <c r="F14" s="33" t="inlineStr">
        <is>
          <t>Essential</t>
        </is>
      </c>
    </row>
    <row r="15">
      <c r="A15" s="23" t="n">
        <v>15</v>
      </c>
      <c r="B15" s="23" t="n">
        <v>21.3</v>
      </c>
      <c r="C15" s="30" t="n">
        <v>169</v>
      </c>
      <c r="D15" s="23" t="n">
        <v>51.6</v>
      </c>
      <c r="E15" s="32" t="n">
        <v>140</v>
      </c>
      <c r="F15" s="33" t="inlineStr">
        <is>
          <t>Essential</t>
        </is>
      </c>
    </row>
    <row r="16">
      <c r="A16" s="23" t="n">
        <v>20</v>
      </c>
      <c r="B16" s="23" t="n">
        <v>26.3</v>
      </c>
      <c r="C16" s="30" t="n">
        <v>137</v>
      </c>
      <c r="D16" s="23" t="n">
        <v>61.6</v>
      </c>
      <c r="E16" s="32" t="n">
        <v>117</v>
      </c>
      <c r="F16" s="33" t="inlineStr">
        <is>
          <t>Essential</t>
        </is>
      </c>
    </row>
    <row r="19">
      <c r="A19" s="13" t="inlineStr">
        <is>
          <t>CGM REVIEWS / month (Intensive only) — E $/hr stays constant</t>
        </is>
      </c>
    </row>
    <row r="20">
      <c r="A20" s="16" t="inlineStr">
        <is>
          <t>CGM/mo</t>
        </is>
      </c>
      <c r="B20" s="16" t="inlineStr">
        <is>
          <t>I hrs/yr</t>
        </is>
      </c>
      <c r="C20" s="16" t="inlineStr">
        <is>
          <t>I $/hr</t>
        </is>
      </c>
      <c r="D20" s="16" t="inlineStr">
        <is>
          <t>E $/hr (ref)</t>
        </is>
      </c>
      <c r="E20" s="16" t="inlineStr">
        <is>
          <t>Delta</t>
        </is>
      </c>
      <c r="F20" s="16" t="inlineStr">
        <is>
          <t>Winner</t>
        </is>
      </c>
    </row>
    <row r="21">
      <c r="A21" s="23" t="n">
        <v>0</v>
      </c>
      <c r="B21" s="23" t="n">
        <v>21.6</v>
      </c>
      <c r="C21" s="32" t="n">
        <v>333</v>
      </c>
      <c r="D21" s="38" t="n">
        <v>435</v>
      </c>
      <c r="E21" s="23" t="n">
        <v>102</v>
      </c>
      <c r="F21" s="18" t="inlineStr">
        <is>
          <t>E wins</t>
        </is>
      </c>
    </row>
    <row r="22">
      <c r="A22" s="23" t="n">
        <v>1</v>
      </c>
      <c r="B22" s="23" t="n">
        <v>23.6</v>
      </c>
      <c r="C22" s="32" t="n">
        <v>305</v>
      </c>
      <c r="D22" s="38" t="n">
        <v>435</v>
      </c>
      <c r="E22" s="23" t="n">
        <v>130</v>
      </c>
      <c r="F22" s="18" t="inlineStr">
        <is>
          <t>E wins</t>
        </is>
      </c>
    </row>
    <row r="23">
      <c r="A23" s="34" t="n">
        <v>2</v>
      </c>
      <c r="B23" s="34" t="n">
        <v>25.6</v>
      </c>
      <c r="C23" s="37" t="n">
        <v>281</v>
      </c>
      <c r="D23" s="39" t="n">
        <v>435</v>
      </c>
      <c r="E23" s="34" t="n">
        <v>154</v>
      </c>
      <c r="F23" s="33" t="inlineStr">
        <is>
          <t>E wins</t>
        </is>
      </c>
    </row>
    <row r="24">
      <c r="A24" s="23" t="n">
        <v>3</v>
      </c>
      <c r="B24" s="23" t="n">
        <v>27.6</v>
      </c>
      <c r="C24" s="32" t="n">
        <v>261</v>
      </c>
      <c r="D24" s="38" t="n">
        <v>435</v>
      </c>
      <c r="E24" s="23" t="n">
        <v>174</v>
      </c>
      <c r="F24" s="18" t="inlineStr">
        <is>
          <t>E wins</t>
        </is>
      </c>
    </row>
    <row r="25">
      <c r="A25" s="23" t="n">
        <v>4</v>
      </c>
      <c r="B25" s="23" t="n">
        <v>29.6</v>
      </c>
      <c r="C25" s="32" t="n">
        <v>243</v>
      </c>
      <c r="D25" s="38" t="n">
        <v>435</v>
      </c>
      <c r="E25" s="23" t="n">
        <v>192</v>
      </c>
      <c r="F25" s="18" t="inlineStr">
        <is>
          <t>E wins</t>
        </is>
      </c>
    </row>
    <row r="26">
      <c r="A26" s="23" t="n">
        <v>5</v>
      </c>
      <c r="B26" s="23" t="n">
        <v>31.6</v>
      </c>
      <c r="C26" s="32" t="n">
        <v>228</v>
      </c>
      <c r="D26" s="38" t="n">
        <v>435</v>
      </c>
      <c r="E26" s="23" t="n">
        <v>207</v>
      </c>
      <c r="F26" s="18" t="inlineStr">
        <is>
          <t>E wins</t>
        </is>
      </c>
    </row>
    <row r="27">
      <c r="A27" s="23" t="n">
        <v>6</v>
      </c>
      <c r="B27" s="23" t="n">
        <v>33.6</v>
      </c>
      <c r="C27" s="32" t="n">
        <v>214</v>
      </c>
      <c r="D27" s="38" t="n">
        <v>435</v>
      </c>
      <c r="E27" s="23" t="n">
        <v>221</v>
      </c>
      <c r="F27" s="18" t="inlineStr">
        <is>
          <t>E wins</t>
        </is>
      </c>
    </row>
    <row r="28">
      <c r="A28" s="23" t="n">
        <v>8</v>
      </c>
      <c r="B28" s="23" t="n">
        <v>37.6</v>
      </c>
      <c r="C28" s="32" t="n">
        <v>191</v>
      </c>
      <c r="D28" s="38" t="n">
        <v>435</v>
      </c>
      <c r="E28" s="23" t="n">
        <v>244</v>
      </c>
      <c r="F28" s="18" t="inlineStr">
        <is>
          <t>E wins</t>
        </is>
      </c>
    </row>
    <row r="29">
      <c r="A29" s="23" t="n">
        <v>10</v>
      </c>
      <c r="B29" s="23" t="n">
        <v>41.6</v>
      </c>
      <c r="C29" s="32" t="n">
        <v>173</v>
      </c>
      <c r="D29" s="38" t="n">
        <v>435</v>
      </c>
      <c r="E29" s="23" t="n">
        <v>262</v>
      </c>
      <c r="F29" s="18" t="inlineStr">
        <is>
          <t>E wins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 ht="40" customHeight="1">
      <c r="A1" s="15" t="inlineStr">
        <is>
          <t>Panel Size × Tier Mix → Annual Income</t>
        </is>
      </c>
    </row>
    <row r="2" ht="22" customHeight="1">
      <c r="A2" s="2" t="inlineStr">
        <is>
          <t>🟢 = hits ~$500K at ≤20 hrs/wk  |  🔴 = exceeds 20 hrs  |  Update yellow rows if pricing changes</t>
        </is>
      </c>
    </row>
    <row r="4">
      <c r="A4" s="13" t="inlineStr">
        <is>
          <t>INPUTS (yellow = update if pricing or time estimates change)</t>
        </is>
      </c>
    </row>
    <row r="5">
      <c r="A5" s="16" t="inlineStr">
        <is>
          <t>Parameter</t>
        </is>
      </c>
      <c r="B5" s="16" t="inlineStr">
        <is>
          <t>Essential</t>
        </is>
      </c>
      <c r="C5" s="16" t="inlineStr">
        <is>
          <t>Intensive</t>
        </is>
      </c>
      <c r="D5" s="16" t="inlineStr">
        <is>
          <t>Executive</t>
        </is>
      </c>
      <c r="E5" s="16" t="inlineStr"/>
      <c r="F5" s="16" t="inlineStr">
        <is>
          <t>Notes</t>
        </is>
      </c>
    </row>
    <row r="6">
      <c r="A6" s="17" t="inlineStr">
        <is>
          <t>Min/week per patient</t>
        </is>
      </c>
      <c r="B6" s="20" t="n">
        <v>7</v>
      </c>
      <c r="C6" s="20" t="n">
        <v>22</v>
      </c>
      <c r="D6" s="20" t="n">
        <v>55</v>
      </c>
      <c r="E6" s="23" t="inlineStr"/>
      <c r="F6" s="19" t="inlineStr">
        <is>
          <t>From assumptions — update to match</t>
        </is>
      </c>
    </row>
    <row r="7">
      <c r="A7" s="17" t="inlineStr">
        <is>
          <t>Annual revenue / patient</t>
        </is>
      </c>
      <c r="B7" s="26" t="n">
        <v>3600</v>
      </c>
      <c r="C7" s="26" t="n">
        <v>7200</v>
      </c>
      <c r="D7" s="26" t="n">
        <v>15000</v>
      </c>
      <c r="E7" s="23" t="inlineStr"/>
      <c r="F7" s="19" t="inlineStr">
        <is>
          <t>Update when pricing changes</t>
        </is>
      </c>
    </row>
    <row r="8">
      <c r="A8" s="17" t="inlineStr">
        <is>
          <t>Fixed overhead hrs/week</t>
        </is>
      </c>
      <c r="B8" s="20" t="n">
        <v>2</v>
      </c>
      <c r="C8" s="40" t="n"/>
      <c r="D8" s="40" t="n"/>
      <c r="E8" s="40" t="n"/>
      <c r="F8" s="19" t="inlineStr">
        <is>
          <t>Admin, ops, marketing</t>
        </is>
      </c>
    </row>
    <row r="10">
      <c r="A10" s="13" t="inlineStr">
        <is>
          <t>PANEL × MIX INCOME TABLE</t>
        </is>
      </c>
    </row>
    <row r="11">
      <c r="A11" s="16" t="inlineStr">
        <is>
          <t>Panel</t>
        </is>
      </c>
      <c r="B11" s="16" t="inlineStr">
        <is>
          <t>% Essential</t>
        </is>
      </c>
      <c r="C11" s="16" t="inlineStr">
        <is>
          <t>% Intensive</t>
        </is>
      </c>
      <c r="D11" s="16" t="inlineStr">
        <is>
          <t>% Executive</t>
        </is>
      </c>
      <c r="E11" s="16" t="inlineStr">
        <is>
          <t>Hrs/Week</t>
        </is>
      </c>
      <c r="F11" s="16" t="inlineStr">
        <is>
          <t>Annual Revenue</t>
        </is>
      </c>
    </row>
    <row r="12">
      <c r="A12" s="41" t="inlineStr">
        <is>
          <t>Mix: 60/30/10</t>
        </is>
      </c>
    </row>
    <row r="13">
      <c r="A13" s="23" t="n">
        <v>20</v>
      </c>
      <c r="B13" s="23" t="inlineStr">
        <is>
          <t>60%</t>
        </is>
      </c>
      <c r="C13" s="23" t="inlineStr">
        <is>
          <t>30%</t>
        </is>
      </c>
      <c r="D13" s="23" t="inlineStr">
        <is>
          <t>10%</t>
        </is>
      </c>
      <c r="E13" s="20" t="n">
        <v>7.4</v>
      </c>
      <c r="F13" s="38" t="n">
        <v>116400</v>
      </c>
    </row>
    <row r="14">
      <c r="A14" s="23" t="n">
        <v>30</v>
      </c>
      <c r="B14" s="23" t="inlineStr">
        <is>
          <t>60%</t>
        </is>
      </c>
      <c r="C14" s="23" t="inlineStr">
        <is>
          <t>30%</t>
        </is>
      </c>
      <c r="D14" s="23" t="inlineStr">
        <is>
          <t>10%</t>
        </is>
      </c>
      <c r="E14" s="20" t="n">
        <v>10.2</v>
      </c>
      <c r="F14" s="38" t="n">
        <v>174600</v>
      </c>
    </row>
    <row r="15">
      <c r="A15" s="23" t="n">
        <v>40</v>
      </c>
      <c r="B15" s="23" t="inlineStr">
        <is>
          <t>60%</t>
        </is>
      </c>
      <c r="C15" s="23" t="inlineStr">
        <is>
          <t>30%</t>
        </is>
      </c>
      <c r="D15" s="23" t="inlineStr">
        <is>
          <t>10%</t>
        </is>
      </c>
      <c r="E15" s="20" t="n">
        <v>12.9</v>
      </c>
      <c r="F15" s="38" t="n">
        <v>232800</v>
      </c>
    </row>
    <row r="16">
      <c r="A16" s="23" t="n">
        <v>50</v>
      </c>
      <c r="B16" s="23" t="inlineStr">
        <is>
          <t>60%</t>
        </is>
      </c>
      <c r="C16" s="23" t="inlineStr">
        <is>
          <t>30%</t>
        </is>
      </c>
      <c r="D16" s="23" t="inlineStr">
        <is>
          <t>10%</t>
        </is>
      </c>
      <c r="E16" s="20" t="n">
        <v>15.6</v>
      </c>
      <c r="F16" s="38" t="n">
        <v>291000</v>
      </c>
    </row>
    <row r="17">
      <c r="A17" s="23" t="n">
        <v>55</v>
      </c>
      <c r="B17" s="23" t="inlineStr">
        <is>
          <t>60%</t>
        </is>
      </c>
      <c r="C17" s="23" t="inlineStr">
        <is>
          <t>30%</t>
        </is>
      </c>
      <c r="D17" s="23" t="inlineStr">
        <is>
          <t>10%</t>
        </is>
      </c>
      <c r="E17" s="20" t="n">
        <v>16.9</v>
      </c>
      <c r="F17" s="38" t="n">
        <v>320100</v>
      </c>
    </row>
    <row r="18">
      <c r="A18" s="23" t="n">
        <v>60</v>
      </c>
      <c r="B18" s="23" t="inlineStr">
        <is>
          <t>60%</t>
        </is>
      </c>
      <c r="C18" s="23" t="inlineStr">
        <is>
          <t>30%</t>
        </is>
      </c>
      <c r="D18" s="23" t="inlineStr">
        <is>
          <t>10%</t>
        </is>
      </c>
      <c r="E18" s="20" t="n">
        <v>18.3</v>
      </c>
      <c r="F18" s="38" t="n">
        <v>349200</v>
      </c>
    </row>
    <row r="19">
      <c r="A19" s="23" t="n">
        <v>70</v>
      </c>
      <c r="B19" s="23" t="inlineStr">
        <is>
          <t>60%</t>
        </is>
      </c>
      <c r="C19" s="23" t="inlineStr">
        <is>
          <t>30%</t>
        </is>
      </c>
      <c r="D19" s="23" t="inlineStr">
        <is>
          <t>10%</t>
        </is>
      </c>
      <c r="E19" s="42" t="n">
        <v>21</v>
      </c>
      <c r="F19" s="32" t="n">
        <v>407400</v>
      </c>
    </row>
    <row r="20">
      <c r="A20" s="23" t="n">
        <v>80</v>
      </c>
      <c r="B20" s="23" t="inlineStr">
        <is>
          <t>60%</t>
        </is>
      </c>
      <c r="C20" s="23" t="inlineStr">
        <is>
          <t>30%</t>
        </is>
      </c>
      <c r="D20" s="23" t="inlineStr">
        <is>
          <t>10%</t>
        </is>
      </c>
      <c r="E20" s="42" t="n">
        <v>23.7</v>
      </c>
      <c r="F20" s="32" t="n">
        <v>465600</v>
      </c>
    </row>
    <row r="22">
      <c r="A22" s="41" t="inlineStr">
        <is>
          <t>Mix: 50/35/15</t>
        </is>
      </c>
    </row>
    <row r="23">
      <c r="A23" s="23" t="n">
        <v>20</v>
      </c>
      <c r="B23" s="23" t="inlineStr">
        <is>
          <t>50%</t>
        </is>
      </c>
      <c r="C23" s="23" t="inlineStr">
        <is>
          <t>35%</t>
        </is>
      </c>
      <c r="D23" s="23" t="inlineStr">
        <is>
          <t>15%</t>
        </is>
      </c>
      <c r="E23" s="20" t="n">
        <v>8.5</v>
      </c>
      <c r="F23" s="38" t="n">
        <v>131400</v>
      </c>
    </row>
    <row r="24">
      <c r="A24" s="23" t="n">
        <v>30</v>
      </c>
      <c r="B24" s="23" t="inlineStr">
        <is>
          <t>50%</t>
        </is>
      </c>
      <c r="C24" s="23" t="inlineStr">
        <is>
          <t>35%</t>
        </is>
      </c>
      <c r="D24" s="23" t="inlineStr">
        <is>
          <t>15%</t>
        </is>
      </c>
      <c r="E24" s="20" t="n">
        <v>11.7</v>
      </c>
      <c r="F24" s="38" t="n">
        <v>197100</v>
      </c>
    </row>
    <row r="25">
      <c r="A25" s="23" t="n">
        <v>40</v>
      </c>
      <c r="B25" s="23" t="inlineStr">
        <is>
          <t>50%</t>
        </is>
      </c>
      <c r="C25" s="23" t="inlineStr">
        <is>
          <t>35%</t>
        </is>
      </c>
      <c r="D25" s="23" t="inlineStr">
        <is>
          <t>15%</t>
        </is>
      </c>
      <c r="E25" s="20" t="n">
        <v>15</v>
      </c>
      <c r="F25" s="38" t="n">
        <v>262800</v>
      </c>
    </row>
    <row r="26">
      <c r="A26" s="23" t="n">
        <v>50</v>
      </c>
      <c r="B26" s="23" t="inlineStr">
        <is>
          <t>50%</t>
        </is>
      </c>
      <c r="C26" s="23" t="inlineStr">
        <is>
          <t>35%</t>
        </is>
      </c>
      <c r="D26" s="23" t="inlineStr">
        <is>
          <t>15%</t>
        </is>
      </c>
      <c r="E26" s="20" t="n">
        <v>18.2</v>
      </c>
      <c r="F26" s="38" t="n">
        <v>328500</v>
      </c>
    </row>
    <row r="27">
      <c r="A27" s="23" t="n">
        <v>55</v>
      </c>
      <c r="B27" s="23" t="inlineStr">
        <is>
          <t>50%</t>
        </is>
      </c>
      <c r="C27" s="23" t="inlineStr">
        <is>
          <t>35%</t>
        </is>
      </c>
      <c r="D27" s="23" t="inlineStr">
        <is>
          <t>15%</t>
        </is>
      </c>
      <c r="E27" s="20" t="n">
        <v>19.8</v>
      </c>
      <c r="F27" s="38" t="n">
        <v>361350</v>
      </c>
    </row>
    <row r="28">
      <c r="A28" s="23" t="n">
        <v>60</v>
      </c>
      <c r="B28" s="23" t="inlineStr">
        <is>
          <t>50%</t>
        </is>
      </c>
      <c r="C28" s="23" t="inlineStr">
        <is>
          <t>35%</t>
        </is>
      </c>
      <c r="D28" s="23" t="inlineStr">
        <is>
          <t>15%</t>
        </is>
      </c>
      <c r="E28" s="42" t="n">
        <v>21.4</v>
      </c>
      <c r="F28" s="32" t="n">
        <v>394200</v>
      </c>
    </row>
    <row r="29">
      <c r="A29" s="23" t="n">
        <v>70</v>
      </c>
      <c r="B29" s="23" t="inlineStr">
        <is>
          <t>50%</t>
        </is>
      </c>
      <c r="C29" s="23" t="inlineStr">
        <is>
          <t>35%</t>
        </is>
      </c>
      <c r="D29" s="23" t="inlineStr">
        <is>
          <t>15%</t>
        </is>
      </c>
      <c r="E29" s="42" t="n">
        <v>24.7</v>
      </c>
      <c r="F29" s="32" t="n">
        <v>459900</v>
      </c>
    </row>
    <row r="30">
      <c r="A30" s="23" t="n">
        <v>80</v>
      </c>
      <c r="B30" s="23" t="inlineStr">
        <is>
          <t>50%</t>
        </is>
      </c>
      <c r="C30" s="23" t="inlineStr">
        <is>
          <t>35%</t>
        </is>
      </c>
      <c r="D30" s="23" t="inlineStr">
        <is>
          <t>15%</t>
        </is>
      </c>
      <c r="E30" s="42" t="n">
        <v>27.9</v>
      </c>
      <c r="F30" s="32" t="n">
        <v>525600</v>
      </c>
    </row>
    <row r="32">
      <c r="A32" s="41" t="inlineStr">
        <is>
          <t>Mix: 40/40/20 ★</t>
        </is>
      </c>
    </row>
    <row r="33">
      <c r="A33" s="23" t="n">
        <v>20</v>
      </c>
      <c r="B33" s="23" t="inlineStr">
        <is>
          <t>40%</t>
        </is>
      </c>
      <c r="C33" s="23" t="inlineStr">
        <is>
          <t>40%</t>
        </is>
      </c>
      <c r="D33" s="23" t="inlineStr">
        <is>
          <t>20%</t>
        </is>
      </c>
      <c r="E33" s="20" t="n">
        <v>9.5</v>
      </c>
      <c r="F33" s="38" t="n">
        <v>146400</v>
      </c>
    </row>
    <row r="34">
      <c r="A34" s="23" t="n">
        <v>30</v>
      </c>
      <c r="B34" s="23" t="inlineStr">
        <is>
          <t>40%</t>
        </is>
      </c>
      <c r="C34" s="23" t="inlineStr">
        <is>
          <t>40%</t>
        </is>
      </c>
      <c r="D34" s="23" t="inlineStr">
        <is>
          <t>20%</t>
        </is>
      </c>
      <c r="E34" s="20" t="n">
        <v>13.3</v>
      </c>
      <c r="F34" s="38" t="n">
        <v>219600</v>
      </c>
    </row>
    <row r="35">
      <c r="A35" s="23" t="n">
        <v>40</v>
      </c>
      <c r="B35" s="23" t="inlineStr">
        <is>
          <t>40%</t>
        </is>
      </c>
      <c r="C35" s="23" t="inlineStr">
        <is>
          <t>40%</t>
        </is>
      </c>
      <c r="D35" s="23" t="inlineStr">
        <is>
          <t>20%</t>
        </is>
      </c>
      <c r="E35" s="20" t="n">
        <v>17.1</v>
      </c>
      <c r="F35" s="38" t="n">
        <v>292800</v>
      </c>
    </row>
    <row r="36">
      <c r="A36" s="23" t="n">
        <v>50</v>
      </c>
      <c r="B36" s="23" t="inlineStr">
        <is>
          <t>40%</t>
        </is>
      </c>
      <c r="C36" s="23" t="inlineStr">
        <is>
          <t>40%</t>
        </is>
      </c>
      <c r="D36" s="23" t="inlineStr">
        <is>
          <t>20%</t>
        </is>
      </c>
      <c r="E36" s="42" t="n">
        <v>20.8</v>
      </c>
      <c r="F36" s="32" t="n">
        <v>366000</v>
      </c>
    </row>
    <row r="37">
      <c r="A37" s="23" t="n">
        <v>55</v>
      </c>
      <c r="B37" s="23" t="inlineStr">
        <is>
          <t>40%</t>
        </is>
      </c>
      <c r="C37" s="23" t="inlineStr">
        <is>
          <t>40%</t>
        </is>
      </c>
      <c r="D37" s="23" t="inlineStr">
        <is>
          <t>20%</t>
        </is>
      </c>
      <c r="E37" s="42" t="n">
        <v>22.7</v>
      </c>
      <c r="F37" s="32" t="n">
        <v>402600</v>
      </c>
    </row>
    <row r="38">
      <c r="A38" s="23" t="n">
        <v>60</v>
      </c>
      <c r="B38" s="23" t="inlineStr">
        <is>
          <t>40%</t>
        </is>
      </c>
      <c r="C38" s="23" t="inlineStr">
        <is>
          <t>40%</t>
        </is>
      </c>
      <c r="D38" s="23" t="inlineStr">
        <is>
          <t>20%</t>
        </is>
      </c>
      <c r="E38" s="42" t="n">
        <v>24.6</v>
      </c>
      <c r="F38" s="32" t="n">
        <v>439200</v>
      </c>
    </row>
    <row r="39">
      <c r="A39" s="23" t="n">
        <v>70</v>
      </c>
      <c r="B39" s="23" t="inlineStr">
        <is>
          <t>40%</t>
        </is>
      </c>
      <c r="C39" s="23" t="inlineStr">
        <is>
          <t>40%</t>
        </is>
      </c>
      <c r="D39" s="23" t="inlineStr">
        <is>
          <t>20%</t>
        </is>
      </c>
      <c r="E39" s="42" t="n">
        <v>28.4</v>
      </c>
      <c r="F39" s="32" t="n">
        <v>512400</v>
      </c>
    </row>
    <row r="40">
      <c r="A40" s="23" t="n">
        <v>80</v>
      </c>
      <c r="B40" s="23" t="inlineStr">
        <is>
          <t>40%</t>
        </is>
      </c>
      <c r="C40" s="23" t="inlineStr">
        <is>
          <t>40%</t>
        </is>
      </c>
      <c r="D40" s="23" t="inlineStr">
        <is>
          <t>20%</t>
        </is>
      </c>
      <c r="E40" s="42" t="n">
        <v>32.1</v>
      </c>
      <c r="F40" s="32" t="n">
        <v>585600</v>
      </c>
    </row>
    <row r="42">
      <c r="A42" s="41" t="inlineStr">
        <is>
          <t>Mix: 30/50/20</t>
        </is>
      </c>
    </row>
    <row r="43">
      <c r="A43" s="23" t="n">
        <v>20</v>
      </c>
      <c r="B43" s="23" t="inlineStr">
        <is>
          <t>30%</t>
        </is>
      </c>
      <c r="C43" s="23" t="inlineStr">
        <is>
          <t>50%</t>
        </is>
      </c>
      <c r="D43" s="23" t="inlineStr">
        <is>
          <t>20%</t>
        </is>
      </c>
      <c r="E43" s="20" t="n">
        <v>10</v>
      </c>
      <c r="F43" s="38" t="n">
        <v>153600</v>
      </c>
    </row>
    <row r="44">
      <c r="A44" s="23" t="n">
        <v>30</v>
      </c>
      <c r="B44" s="23" t="inlineStr">
        <is>
          <t>30%</t>
        </is>
      </c>
      <c r="C44" s="23" t="inlineStr">
        <is>
          <t>50%</t>
        </is>
      </c>
      <c r="D44" s="23" t="inlineStr">
        <is>
          <t>20%</t>
        </is>
      </c>
      <c r="E44" s="20" t="n">
        <v>14.1</v>
      </c>
      <c r="F44" s="38" t="n">
        <v>230400</v>
      </c>
    </row>
    <row r="45">
      <c r="A45" s="23" t="n">
        <v>40</v>
      </c>
      <c r="B45" s="23" t="inlineStr">
        <is>
          <t>30%</t>
        </is>
      </c>
      <c r="C45" s="23" t="inlineStr">
        <is>
          <t>50%</t>
        </is>
      </c>
      <c r="D45" s="23" t="inlineStr">
        <is>
          <t>20%</t>
        </is>
      </c>
      <c r="E45" s="20" t="n">
        <v>18.1</v>
      </c>
      <c r="F45" s="38" t="n">
        <v>307200</v>
      </c>
    </row>
    <row r="46">
      <c r="A46" s="23" t="n">
        <v>50</v>
      </c>
      <c r="B46" s="23" t="inlineStr">
        <is>
          <t>30%</t>
        </is>
      </c>
      <c r="C46" s="23" t="inlineStr">
        <is>
          <t>50%</t>
        </is>
      </c>
      <c r="D46" s="23" t="inlineStr">
        <is>
          <t>20%</t>
        </is>
      </c>
      <c r="E46" s="42" t="n">
        <v>22.1</v>
      </c>
      <c r="F46" s="32" t="n">
        <v>384000</v>
      </c>
    </row>
    <row r="47">
      <c r="A47" s="23" t="n">
        <v>55</v>
      </c>
      <c r="B47" s="23" t="inlineStr">
        <is>
          <t>30%</t>
        </is>
      </c>
      <c r="C47" s="23" t="inlineStr">
        <is>
          <t>50%</t>
        </is>
      </c>
      <c r="D47" s="23" t="inlineStr">
        <is>
          <t>20%</t>
        </is>
      </c>
      <c r="E47" s="42" t="n">
        <v>24.1</v>
      </c>
      <c r="F47" s="32" t="n">
        <v>422400</v>
      </c>
    </row>
    <row r="48">
      <c r="A48" s="23" t="n">
        <v>60</v>
      </c>
      <c r="B48" s="23" t="inlineStr">
        <is>
          <t>30%</t>
        </is>
      </c>
      <c r="C48" s="23" t="inlineStr">
        <is>
          <t>50%</t>
        </is>
      </c>
      <c r="D48" s="23" t="inlineStr">
        <is>
          <t>20%</t>
        </is>
      </c>
      <c r="E48" s="42" t="n">
        <v>26.1</v>
      </c>
      <c r="F48" s="32" t="n">
        <v>460800</v>
      </c>
    </row>
    <row r="49">
      <c r="A49" s="23" t="n">
        <v>70</v>
      </c>
      <c r="B49" s="23" t="inlineStr">
        <is>
          <t>30%</t>
        </is>
      </c>
      <c r="C49" s="23" t="inlineStr">
        <is>
          <t>50%</t>
        </is>
      </c>
      <c r="D49" s="23" t="inlineStr">
        <is>
          <t>20%</t>
        </is>
      </c>
      <c r="E49" s="42" t="n">
        <v>30.1</v>
      </c>
      <c r="F49" s="32" t="n">
        <v>537600</v>
      </c>
    </row>
    <row r="50">
      <c r="A50" s="23" t="n">
        <v>80</v>
      </c>
      <c r="B50" s="23" t="inlineStr">
        <is>
          <t>30%</t>
        </is>
      </c>
      <c r="C50" s="23" t="inlineStr">
        <is>
          <t>50%</t>
        </is>
      </c>
      <c r="D50" s="23" t="inlineStr">
        <is>
          <t>20%</t>
        </is>
      </c>
      <c r="E50" s="42" t="n">
        <v>34.1</v>
      </c>
      <c r="F50" s="32" t="n">
        <v>614400</v>
      </c>
    </row>
    <row r="52">
      <c r="A52" s="41" t="inlineStr">
        <is>
          <t>Mix: 0/80/20</t>
        </is>
      </c>
    </row>
    <row r="53">
      <c r="A53" s="23" t="n">
        <v>20</v>
      </c>
      <c r="B53" s="23" t="inlineStr">
        <is>
          <t>0%</t>
        </is>
      </c>
      <c r="C53" s="23" t="inlineStr">
        <is>
          <t>80%</t>
        </is>
      </c>
      <c r="D53" s="23" t="inlineStr">
        <is>
          <t>20%</t>
        </is>
      </c>
      <c r="E53" s="20" t="n">
        <v>11.5</v>
      </c>
      <c r="F53" s="38" t="n">
        <v>175200</v>
      </c>
    </row>
    <row r="54">
      <c r="A54" s="23" t="n">
        <v>30</v>
      </c>
      <c r="B54" s="23" t="inlineStr">
        <is>
          <t>0%</t>
        </is>
      </c>
      <c r="C54" s="23" t="inlineStr">
        <is>
          <t>80%</t>
        </is>
      </c>
      <c r="D54" s="23" t="inlineStr">
        <is>
          <t>20%</t>
        </is>
      </c>
      <c r="E54" s="20" t="n">
        <v>16.3</v>
      </c>
      <c r="F54" s="38" t="n">
        <v>262800</v>
      </c>
    </row>
    <row r="55">
      <c r="A55" s="23" t="n">
        <v>40</v>
      </c>
      <c r="B55" s="23" t="inlineStr">
        <is>
          <t>0%</t>
        </is>
      </c>
      <c r="C55" s="23" t="inlineStr">
        <is>
          <t>80%</t>
        </is>
      </c>
      <c r="D55" s="23" t="inlineStr">
        <is>
          <t>20%</t>
        </is>
      </c>
      <c r="E55" s="42" t="n">
        <v>21.1</v>
      </c>
      <c r="F55" s="32" t="n">
        <v>350400</v>
      </c>
    </row>
    <row r="56">
      <c r="A56" s="23" t="n">
        <v>50</v>
      </c>
      <c r="B56" s="23" t="inlineStr">
        <is>
          <t>0%</t>
        </is>
      </c>
      <c r="C56" s="23" t="inlineStr">
        <is>
          <t>80%</t>
        </is>
      </c>
      <c r="D56" s="23" t="inlineStr">
        <is>
          <t>20%</t>
        </is>
      </c>
      <c r="E56" s="42" t="n">
        <v>25.8</v>
      </c>
      <c r="F56" s="32" t="n">
        <v>438000</v>
      </c>
    </row>
    <row r="57">
      <c r="A57" s="23" t="n">
        <v>55</v>
      </c>
      <c r="B57" s="23" t="inlineStr">
        <is>
          <t>0%</t>
        </is>
      </c>
      <c r="C57" s="23" t="inlineStr">
        <is>
          <t>80%</t>
        </is>
      </c>
      <c r="D57" s="23" t="inlineStr">
        <is>
          <t>20%</t>
        </is>
      </c>
      <c r="E57" s="42" t="n">
        <v>28.2</v>
      </c>
      <c r="F57" s="32" t="n">
        <v>481800</v>
      </c>
    </row>
    <row r="58">
      <c r="A58" s="23" t="n">
        <v>60</v>
      </c>
      <c r="B58" s="23" t="inlineStr">
        <is>
          <t>0%</t>
        </is>
      </c>
      <c r="C58" s="23" t="inlineStr">
        <is>
          <t>80%</t>
        </is>
      </c>
      <c r="D58" s="23" t="inlineStr">
        <is>
          <t>20%</t>
        </is>
      </c>
      <c r="E58" s="42" t="n">
        <v>30.6</v>
      </c>
      <c r="F58" s="32" t="n">
        <v>525600</v>
      </c>
    </row>
    <row r="59">
      <c r="A59" s="23" t="n">
        <v>70</v>
      </c>
      <c r="B59" s="23" t="inlineStr">
        <is>
          <t>0%</t>
        </is>
      </c>
      <c r="C59" s="23" t="inlineStr">
        <is>
          <t>80%</t>
        </is>
      </c>
      <c r="D59" s="23" t="inlineStr">
        <is>
          <t>20%</t>
        </is>
      </c>
      <c r="E59" s="42" t="n">
        <v>35.4</v>
      </c>
      <c r="F59" s="32" t="n">
        <v>613200</v>
      </c>
    </row>
    <row r="60">
      <c r="A60" s="23" t="n">
        <v>80</v>
      </c>
      <c r="B60" s="23" t="inlineStr">
        <is>
          <t>0%</t>
        </is>
      </c>
      <c r="C60" s="23" t="inlineStr">
        <is>
          <t>80%</t>
        </is>
      </c>
      <c r="D60" s="23" t="inlineStr">
        <is>
          <t>20%</t>
        </is>
      </c>
      <c r="E60" s="42" t="n">
        <v>40.1</v>
      </c>
      <c r="F60" s="32" t="n">
        <v>700800</v>
      </c>
    </row>
    <row r="62">
      <c r="A62" s="41" t="inlineStr">
        <is>
          <t>Mix: Pure Intensive</t>
        </is>
      </c>
    </row>
    <row r="63">
      <c r="A63" s="23" t="n">
        <v>20</v>
      </c>
      <c r="B63" s="23" t="inlineStr">
        <is>
          <t>0%</t>
        </is>
      </c>
      <c r="C63" s="23" t="inlineStr">
        <is>
          <t>100%</t>
        </is>
      </c>
      <c r="D63" s="23" t="inlineStr">
        <is>
          <t>0%</t>
        </is>
      </c>
      <c r="E63" s="20" t="n">
        <v>9.300000000000001</v>
      </c>
      <c r="F63" s="38" t="n">
        <v>144000</v>
      </c>
    </row>
    <row r="64">
      <c r="A64" s="23" t="n">
        <v>30</v>
      </c>
      <c r="B64" s="23" t="inlineStr">
        <is>
          <t>0%</t>
        </is>
      </c>
      <c r="C64" s="23" t="inlineStr">
        <is>
          <t>100%</t>
        </is>
      </c>
      <c r="D64" s="23" t="inlineStr">
        <is>
          <t>0%</t>
        </is>
      </c>
      <c r="E64" s="20" t="n">
        <v>13</v>
      </c>
      <c r="F64" s="38" t="n">
        <v>216000</v>
      </c>
    </row>
    <row r="65">
      <c r="A65" s="23" t="n">
        <v>40</v>
      </c>
      <c r="B65" s="23" t="inlineStr">
        <is>
          <t>0%</t>
        </is>
      </c>
      <c r="C65" s="23" t="inlineStr">
        <is>
          <t>100%</t>
        </is>
      </c>
      <c r="D65" s="23" t="inlineStr">
        <is>
          <t>0%</t>
        </is>
      </c>
      <c r="E65" s="20" t="n">
        <v>16.7</v>
      </c>
      <c r="F65" s="38" t="n">
        <v>288000</v>
      </c>
    </row>
    <row r="66">
      <c r="A66" s="23" t="n">
        <v>50</v>
      </c>
      <c r="B66" s="23" t="inlineStr">
        <is>
          <t>0%</t>
        </is>
      </c>
      <c r="C66" s="23" t="inlineStr">
        <is>
          <t>100%</t>
        </is>
      </c>
      <c r="D66" s="23" t="inlineStr">
        <is>
          <t>0%</t>
        </is>
      </c>
      <c r="E66" s="42" t="n">
        <v>20.3</v>
      </c>
      <c r="F66" s="32" t="n">
        <v>360000</v>
      </c>
    </row>
    <row r="67">
      <c r="A67" s="23" t="n">
        <v>55</v>
      </c>
      <c r="B67" s="23" t="inlineStr">
        <is>
          <t>0%</t>
        </is>
      </c>
      <c r="C67" s="23" t="inlineStr">
        <is>
          <t>100%</t>
        </is>
      </c>
      <c r="D67" s="23" t="inlineStr">
        <is>
          <t>0%</t>
        </is>
      </c>
      <c r="E67" s="42" t="n">
        <v>22.2</v>
      </c>
      <c r="F67" s="32" t="n">
        <v>396000</v>
      </c>
    </row>
    <row r="68">
      <c r="A68" s="23" t="n">
        <v>60</v>
      </c>
      <c r="B68" s="23" t="inlineStr">
        <is>
          <t>0%</t>
        </is>
      </c>
      <c r="C68" s="23" t="inlineStr">
        <is>
          <t>100%</t>
        </is>
      </c>
      <c r="D68" s="23" t="inlineStr">
        <is>
          <t>0%</t>
        </is>
      </c>
      <c r="E68" s="42" t="n">
        <v>24</v>
      </c>
      <c r="F68" s="32" t="n">
        <v>432000</v>
      </c>
    </row>
    <row r="69">
      <c r="A69" s="23" t="n">
        <v>70</v>
      </c>
      <c r="B69" s="23" t="inlineStr">
        <is>
          <t>0%</t>
        </is>
      </c>
      <c r="C69" s="23" t="inlineStr">
        <is>
          <t>100%</t>
        </is>
      </c>
      <c r="D69" s="23" t="inlineStr">
        <is>
          <t>0%</t>
        </is>
      </c>
      <c r="E69" s="42" t="n">
        <v>27.7</v>
      </c>
      <c r="F69" s="32" t="n">
        <v>504000</v>
      </c>
    </row>
    <row r="70">
      <c r="A70" s="23" t="n">
        <v>80</v>
      </c>
      <c r="B70" s="23" t="inlineStr">
        <is>
          <t>0%</t>
        </is>
      </c>
      <c r="C70" s="23" t="inlineStr">
        <is>
          <t>100%</t>
        </is>
      </c>
      <c r="D70" s="23" t="inlineStr">
        <is>
          <t>0%</t>
        </is>
      </c>
      <c r="E70" s="42" t="n">
        <v>31.3</v>
      </c>
      <c r="F70" s="32" t="n">
        <v>576000</v>
      </c>
    </row>
  </sheetData>
  <mergeCells count="10">
    <mergeCell ref="A2:F2"/>
    <mergeCell ref="A52:F52"/>
    <mergeCell ref="A10:F10"/>
    <mergeCell ref="A42:F42"/>
    <mergeCell ref="A1:F1"/>
    <mergeCell ref="A32:F32"/>
    <mergeCell ref="A22:F22"/>
    <mergeCell ref="A12:F12"/>
    <mergeCell ref="A4:F4"/>
    <mergeCell ref="A62:F6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22" customWidth="1" min="5" max="5"/>
  </cols>
  <sheetData>
    <row r="1" ht="40" customHeight="1">
      <c r="A1" s="15" t="inlineStr">
        <is>
          <t>Time Variable Sensitivity — $/hr</t>
        </is>
      </c>
    </row>
    <row r="2" ht="22" customHeight="1">
      <c r="A2" s="2" t="inlineStr">
        <is>
          <t>One variable at a time. Default highlighted yellow. Green = higher $/hr.</t>
        </is>
      </c>
    </row>
    <row r="4">
      <c r="A4" s="13" t="inlineStr">
        <is>
          <t>ASYNC msgs/month (E msgs; I = 2×)</t>
        </is>
      </c>
    </row>
    <row r="5">
      <c r="A5" s="16" t="inlineStr">
        <is>
          <t>Value</t>
        </is>
      </c>
      <c r="B5" s="16" t="inlineStr">
        <is>
          <t>E $/hr</t>
        </is>
      </c>
      <c r="C5" s="16" t="inlineStr">
        <is>
          <t>I $/hr</t>
        </is>
      </c>
      <c r="D5" s="16" t="inlineStr">
        <is>
          <t>Winner</t>
        </is>
      </c>
      <c r="E5" s="16" t="inlineStr">
        <is>
          <t>vs Default</t>
        </is>
      </c>
    </row>
    <row r="6">
      <c r="A6" s="23" t="n">
        <v>1</v>
      </c>
      <c r="B6" s="30" t="n">
        <v>495</v>
      </c>
      <c r="C6" s="32" t="n">
        <v>305</v>
      </c>
      <c r="D6" s="33" t="inlineStr">
        <is>
          <t>Essential</t>
        </is>
      </c>
      <c r="E6" s="19" t="inlineStr"/>
    </row>
    <row r="7">
      <c r="A7" s="34" t="n">
        <v>2</v>
      </c>
      <c r="B7" s="36" t="n">
        <v>435</v>
      </c>
      <c r="C7" s="37" t="n">
        <v>281</v>
      </c>
      <c r="D7" s="33" t="inlineStr">
        <is>
          <t>Essential</t>
        </is>
      </c>
      <c r="E7" s="43" t="inlineStr">
        <is>
          <t>← default</t>
        </is>
      </c>
    </row>
    <row r="8">
      <c r="A8" s="23" t="n">
        <v>3</v>
      </c>
      <c r="B8" s="30" t="n">
        <v>388</v>
      </c>
      <c r="C8" s="32" t="n">
        <v>261</v>
      </c>
      <c r="D8" s="33" t="inlineStr">
        <is>
          <t>Essential</t>
        </is>
      </c>
      <c r="E8" s="19" t="inlineStr"/>
    </row>
    <row r="9">
      <c r="A9" s="23" t="n">
        <v>4</v>
      </c>
      <c r="B9" s="30" t="n">
        <v>351</v>
      </c>
      <c r="C9" s="32" t="n">
        <v>243</v>
      </c>
      <c r="D9" s="33" t="inlineStr">
        <is>
          <t>Essential</t>
        </is>
      </c>
      <c r="E9" s="19" t="inlineStr"/>
    </row>
    <row r="10">
      <c r="A10" s="23" t="n">
        <v>5</v>
      </c>
      <c r="B10" s="30" t="n">
        <v>320</v>
      </c>
      <c r="C10" s="32" t="n">
        <v>228</v>
      </c>
      <c r="D10" s="33" t="inlineStr">
        <is>
          <t>Essential</t>
        </is>
      </c>
      <c r="E10" s="19" t="inlineStr"/>
    </row>
    <row r="11">
      <c r="A11" s="23" t="n">
        <v>6</v>
      </c>
      <c r="B11" s="30" t="n">
        <v>293</v>
      </c>
      <c r="C11" s="32" t="n">
        <v>214</v>
      </c>
      <c r="D11" s="33" t="inlineStr">
        <is>
          <t>Essential</t>
        </is>
      </c>
      <c r="E11" s="19" t="inlineStr"/>
    </row>
    <row r="12">
      <c r="A12" s="23" t="n">
        <v>8</v>
      </c>
      <c r="B12" s="30" t="n">
        <v>252</v>
      </c>
      <c r="C12" s="32" t="n">
        <v>191</v>
      </c>
      <c r="D12" s="33" t="inlineStr">
        <is>
          <t>Essential</t>
        </is>
      </c>
      <c r="E12" s="19" t="inlineStr"/>
    </row>
    <row r="13">
      <c r="A13" s="23" t="n">
        <v>10</v>
      </c>
      <c r="B13" s="30" t="n">
        <v>221</v>
      </c>
      <c r="C13" s="32" t="n">
        <v>173</v>
      </c>
      <c r="D13" s="33" t="inlineStr">
        <is>
          <t>Essential</t>
        </is>
      </c>
      <c r="E13" s="19" t="inlineStr"/>
    </row>
    <row r="14">
      <c r="A14" s="23" t="n">
        <v>15</v>
      </c>
      <c r="B14" s="30" t="n">
        <v>169</v>
      </c>
      <c r="C14" s="32" t="n">
        <v>140</v>
      </c>
      <c r="D14" s="33" t="inlineStr">
        <is>
          <t>Essential</t>
        </is>
      </c>
      <c r="E14" s="19" t="inlineStr"/>
    </row>
    <row r="15">
      <c r="A15" s="23" t="n">
        <v>20</v>
      </c>
      <c r="B15" s="30" t="n">
        <v>137</v>
      </c>
      <c r="C15" s="32" t="n">
        <v>117</v>
      </c>
      <c r="D15" s="33" t="inlineStr">
        <is>
          <t>Essential</t>
        </is>
      </c>
      <c r="E15" s="19" t="inlineStr"/>
    </row>
    <row r="17">
      <c r="A17" s="13" t="inlineStr">
        <is>
          <t>CGM reviews/month — Intensive only</t>
        </is>
      </c>
    </row>
    <row r="18">
      <c r="A18" s="16" t="inlineStr">
        <is>
          <t>Value</t>
        </is>
      </c>
      <c r="B18" s="16" t="inlineStr">
        <is>
          <t>E $/hr</t>
        </is>
      </c>
      <c r="C18" s="16" t="inlineStr">
        <is>
          <t>I $/hr</t>
        </is>
      </c>
      <c r="D18" s="16" t="inlineStr">
        <is>
          <t>Winner</t>
        </is>
      </c>
      <c r="E18" s="16" t="inlineStr">
        <is>
          <t>vs Default</t>
        </is>
      </c>
    </row>
    <row r="19">
      <c r="A19" s="23" t="n">
        <v>0</v>
      </c>
      <c r="B19" s="30" t="n">
        <v>435</v>
      </c>
      <c r="C19" s="32" t="n">
        <v>333</v>
      </c>
      <c r="D19" s="33" t="inlineStr">
        <is>
          <t>Essential</t>
        </is>
      </c>
      <c r="E19" s="19" t="inlineStr"/>
    </row>
    <row r="20">
      <c r="A20" s="23" t="n">
        <v>1</v>
      </c>
      <c r="B20" s="30" t="n">
        <v>435</v>
      </c>
      <c r="C20" s="32" t="n">
        <v>305</v>
      </c>
      <c r="D20" s="33" t="inlineStr">
        <is>
          <t>Essential</t>
        </is>
      </c>
      <c r="E20" s="19" t="inlineStr"/>
    </row>
    <row r="21">
      <c r="A21" s="34" t="n">
        <v>2</v>
      </c>
      <c r="B21" s="36" t="n">
        <v>435</v>
      </c>
      <c r="C21" s="37" t="n">
        <v>281</v>
      </c>
      <c r="D21" s="33" t="inlineStr">
        <is>
          <t>Essential</t>
        </is>
      </c>
      <c r="E21" s="43" t="inlineStr">
        <is>
          <t>← default</t>
        </is>
      </c>
    </row>
    <row r="22">
      <c r="A22" s="23" t="n">
        <v>3</v>
      </c>
      <c r="B22" s="30" t="n">
        <v>435</v>
      </c>
      <c r="C22" s="32" t="n">
        <v>261</v>
      </c>
      <c r="D22" s="33" t="inlineStr">
        <is>
          <t>Essential</t>
        </is>
      </c>
      <c r="E22" s="19" t="inlineStr"/>
    </row>
    <row r="23">
      <c r="A23" s="23" t="n">
        <v>4</v>
      </c>
      <c r="B23" s="30" t="n">
        <v>435</v>
      </c>
      <c r="C23" s="32" t="n">
        <v>243</v>
      </c>
      <c r="D23" s="33" t="inlineStr">
        <is>
          <t>Essential</t>
        </is>
      </c>
      <c r="E23" s="19" t="inlineStr"/>
    </row>
    <row r="24">
      <c r="A24" s="23" t="n">
        <v>5</v>
      </c>
      <c r="B24" s="30" t="n">
        <v>435</v>
      </c>
      <c r="C24" s="32" t="n">
        <v>228</v>
      </c>
      <c r="D24" s="33" t="inlineStr">
        <is>
          <t>Essential</t>
        </is>
      </c>
      <c r="E24" s="19" t="inlineStr"/>
    </row>
    <row r="25">
      <c r="A25" s="23" t="n">
        <v>6</v>
      </c>
      <c r="B25" s="30" t="n">
        <v>435</v>
      </c>
      <c r="C25" s="32" t="n">
        <v>214</v>
      </c>
      <c r="D25" s="33" t="inlineStr">
        <is>
          <t>Essential</t>
        </is>
      </c>
      <c r="E25" s="19" t="inlineStr"/>
    </row>
    <row r="26">
      <c r="A26" s="23" t="n">
        <v>8</v>
      </c>
      <c r="B26" s="30" t="n">
        <v>435</v>
      </c>
      <c r="C26" s="32" t="n">
        <v>191</v>
      </c>
      <c r="D26" s="33" t="inlineStr">
        <is>
          <t>Essential</t>
        </is>
      </c>
      <c r="E26" s="19" t="inlineStr"/>
    </row>
    <row r="27">
      <c r="A27" s="23" t="n">
        <v>10</v>
      </c>
      <c r="B27" s="30" t="n">
        <v>435</v>
      </c>
      <c r="C27" s="32" t="n">
        <v>173</v>
      </c>
      <c r="D27" s="33" t="inlineStr">
        <is>
          <t>Essential</t>
        </is>
      </c>
      <c r="E27" s="19" t="inlineStr"/>
    </row>
    <row r="29">
      <c r="A29" s="13" t="inlineStr">
        <is>
          <t>Charting min / interaction (both tiers)</t>
        </is>
      </c>
    </row>
    <row r="30">
      <c r="A30" s="16" t="inlineStr">
        <is>
          <t>Value</t>
        </is>
      </c>
      <c r="B30" s="16" t="inlineStr">
        <is>
          <t>E $/hr</t>
        </is>
      </c>
      <c r="C30" s="16" t="inlineStr">
        <is>
          <t>I $/hr</t>
        </is>
      </c>
      <c r="D30" s="16" t="inlineStr">
        <is>
          <t>Winner</t>
        </is>
      </c>
      <c r="E30" s="16" t="inlineStr">
        <is>
          <t>vs Default</t>
        </is>
      </c>
    </row>
    <row r="31">
      <c r="A31" s="23" t="n">
        <v>2</v>
      </c>
      <c r="B31" s="30" t="n">
        <v>614</v>
      </c>
      <c r="C31" s="32" t="n">
        <v>367</v>
      </c>
      <c r="D31" s="33" t="inlineStr">
        <is>
          <t>Essential</t>
        </is>
      </c>
      <c r="E31" s="19" t="inlineStr"/>
    </row>
    <row r="32">
      <c r="A32" s="23" t="n">
        <v>3</v>
      </c>
      <c r="B32" s="30" t="n">
        <v>540</v>
      </c>
      <c r="C32" s="32" t="n">
        <v>333</v>
      </c>
      <c r="D32" s="33" t="inlineStr">
        <is>
          <t>Essential</t>
        </is>
      </c>
      <c r="E32" s="19" t="inlineStr"/>
    </row>
    <row r="33">
      <c r="A33" s="23" t="n">
        <v>4</v>
      </c>
      <c r="B33" s="30" t="n">
        <v>482</v>
      </c>
      <c r="C33" s="32" t="n">
        <v>305</v>
      </c>
      <c r="D33" s="33" t="inlineStr">
        <is>
          <t>Essential</t>
        </is>
      </c>
      <c r="E33" s="19" t="inlineStr"/>
    </row>
    <row r="34">
      <c r="A34" s="34" t="n">
        <v>5</v>
      </c>
      <c r="B34" s="36" t="n">
        <v>435</v>
      </c>
      <c r="C34" s="37" t="n">
        <v>281</v>
      </c>
      <c r="D34" s="33" t="inlineStr">
        <is>
          <t>Essential</t>
        </is>
      </c>
      <c r="E34" s="43" t="inlineStr">
        <is>
          <t>← default</t>
        </is>
      </c>
    </row>
    <row r="35">
      <c r="A35" s="23" t="n">
        <v>7</v>
      </c>
      <c r="B35" s="30" t="n">
        <v>365</v>
      </c>
      <c r="C35" s="32" t="n">
        <v>243</v>
      </c>
      <c r="D35" s="33" t="inlineStr">
        <is>
          <t>Essential</t>
        </is>
      </c>
      <c r="E35" s="19" t="inlineStr"/>
    </row>
    <row r="36">
      <c r="A36" s="23" t="n">
        <v>10</v>
      </c>
      <c r="B36" s="30" t="n">
        <v>293</v>
      </c>
      <c r="C36" s="32" t="n">
        <v>202</v>
      </c>
      <c r="D36" s="33" t="inlineStr">
        <is>
          <t>Essential</t>
        </is>
      </c>
      <c r="E36" s="19" t="inlineStr"/>
    </row>
    <row r="37">
      <c r="A37" s="23" t="n">
        <v>15</v>
      </c>
      <c r="B37" s="30" t="n">
        <v>221</v>
      </c>
      <c r="C37" s="32" t="n">
        <v>158</v>
      </c>
      <c r="D37" s="33" t="inlineStr">
        <is>
          <t>Essential</t>
        </is>
      </c>
      <c r="E37" s="19" t="inlineStr"/>
    </row>
    <row r="38">
      <c r="A38" s="23" t="n">
        <v>20</v>
      </c>
      <c r="B38" s="30" t="n">
        <v>178</v>
      </c>
      <c r="C38" s="32" t="n">
        <v>129</v>
      </c>
      <c r="D38" s="33" t="inlineStr">
        <is>
          <t>Essential</t>
        </is>
      </c>
      <c r="E38" s="19" t="inlineStr"/>
    </row>
    <row r="40">
      <c r="A40" s="13" t="inlineStr">
        <is>
          <t>Rx renewals/month — Essential</t>
        </is>
      </c>
    </row>
    <row r="41">
      <c r="A41" s="16" t="inlineStr">
        <is>
          <t>Value</t>
        </is>
      </c>
      <c r="B41" s="16" t="inlineStr">
        <is>
          <t>E $/hr</t>
        </is>
      </c>
      <c r="C41" s="16" t="inlineStr">
        <is>
          <t>I $/hr</t>
        </is>
      </c>
      <c r="D41" s="16" t="inlineStr">
        <is>
          <t>Winner</t>
        </is>
      </c>
      <c r="E41" s="16" t="inlineStr">
        <is>
          <t>vs Default</t>
        </is>
      </c>
    </row>
    <row r="42">
      <c r="A42" s="23" t="n">
        <v>0</v>
      </c>
      <c r="B42" s="30" t="n">
        <v>470</v>
      </c>
      <c r="C42" s="32" t="n">
        <v>281</v>
      </c>
      <c r="D42" s="33" t="inlineStr">
        <is>
          <t>Essential</t>
        </is>
      </c>
      <c r="E42" s="19" t="inlineStr"/>
    </row>
    <row r="43">
      <c r="A43" s="34" t="n">
        <v>1</v>
      </c>
      <c r="B43" s="36" t="n">
        <v>435</v>
      </c>
      <c r="C43" s="37" t="n">
        <v>281</v>
      </c>
      <c r="D43" s="33" t="inlineStr">
        <is>
          <t>Essential</t>
        </is>
      </c>
      <c r="E43" s="43" t="inlineStr">
        <is>
          <t>← default</t>
        </is>
      </c>
    </row>
    <row r="44">
      <c r="A44" s="23" t="n">
        <v>2</v>
      </c>
      <c r="B44" s="30" t="n">
        <v>406</v>
      </c>
      <c r="C44" s="32" t="n">
        <v>281</v>
      </c>
      <c r="D44" s="33" t="inlineStr">
        <is>
          <t>Essential</t>
        </is>
      </c>
      <c r="E44" s="19" t="inlineStr"/>
    </row>
    <row r="45">
      <c r="A45" s="23" t="n">
        <v>3</v>
      </c>
      <c r="B45" s="30" t="n">
        <v>380</v>
      </c>
      <c r="C45" s="32" t="n">
        <v>281</v>
      </c>
      <c r="D45" s="33" t="inlineStr">
        <is>
          <t>Essential</t>
        </is>
      </c>
      <c r="E45" s="19" t="inlineStr"/>
    </row>
    <row r="46">
      <c r="A46" s="23" t="n">
        <v>4</v>
      </c>
      <c r="B46" s="30" t="n">
        <v>358</v>
      </c>
      <c r="C46" s="32" t="n">
        <v>281</v>
      </c>
      <c r="D46" s="33" t="inlineStr">
        <is>
          <t>Essential</t>
        </is>
      </c>
      <c r="E46" s="19" t="inlineStr"/>
    </row>
    <row r="47">
      <c r="A47" s="23" t="n">
        <v>6</v>
      </c>
      <c r="B47" s="30" t="n">
        <v>320</v>
      </c>
      <c r="C47" s="32" t="n">
        <v>281</v>
      </c>
      <c r="D47" s="33" t="inlineStr">
        <is>
          <t>Essential</t>
        </is>
      </c>
      <c r="E47" s="19" t="inlineStr"/>
    </row>
    <row r="49">
      <c r="A49" s="13" t="inlineStr">
        <is>
          <t>Lab reviews/year — Essential</t>
        </is>
      </c>
    </row>
    <row r="50">
      <c r="A50" s="16" t="inlineStr">
        <is>
          <t>Value</t>
        </is>
      </c>
      <c r="B50" s="16" t="inlineStr">
        <is>
          <t>E $/hr</t>
        </is>
      </c>
      <c r="C50" s="16" t="inlineStr">
        <is>
          <t>I $/hr</t>
        </is>
      </c>
      <c r="D50" s="16" t="inlineStr">
        <is>
          <t>Winner</t>
        </is>
      </c>
      <c r="E50" s="16" t="inlineStr">
        <is>
          <t>vs Default</t>
        </is>
      </c>
    </row>
    <row r="51">
      <c r="A51" s="23" t="n">
        <v>1</v>
      </c>
      <c r="B51" s="30" t="n">
        <v>444</v>
      </c>
      <c r="C51" s="32" t="n">
        <v>281</v>
      </c>
      <c r="D51" s="33" t="inlineStr">
        <is>
          <t>Essential</t>
        </is>
      </c>
      <c r="E51" s="19" t="inlineStr"/>
    </row>
    <row r="52">
      <c r="A52" s="34" t="n">
        <v>2</v>
      </c>
      <c r="B52" s="36" t="n">
        <v>435</v>
      </c>
      <c r="C52" s="37" t="n">
        <v>281</v>
      </c>
      <c r="D52" s="33" t="inlineStr">
        <is>
          <t>Essential</t>
        </is>
      </c>
      <c r="E52" s="43" t="inlineStr">
        <is>
          <t>← default</t>
        </is>
      </c>
    </row>
    <row r="53">
      <c r="A53" s="23" t="n">
        <v>3</v>
      </c>
      <c r="B53" s="30" t="n">
        <v>427</v>
      </c>
      <c r="C53" s="32" t="n">
        <v>281</v>
      </c>
      <c r="D53" s="33" t="inlineStr">
        <is>
          <t>Essential</t>
        </is>
      </c>
      <c r="E53" s="19" t="inlineStr"/>
    </row>
    <row r="54">
      <c r="A54" s="23" t="n">
        <v>4</v>
      </c>
      <c r="B54" s="30" t="n">
        <v>419</v>
      </c>
      <c r="C54" s="32" t="n">
        <v>281</v>
      </c>
      <c r="D54" s="33" t="inlineStr">
        <is>
          <t>Essential</t>
        </is>
      </c>
      <c r="E54" s="19" t="inlineStr"/>
    </row>
    <row r="55">
      <c r="A55" s="23" t="n">
        <v>6</v>
      </c>
      <c r="B55" s="30" t="n">
        <v>403</v>
      </c>
      <c r="C55" s="32" t="n">
        <v>281</v>
      </c>
      <c r="D55" s="33" t="inlineStr">
        <is>
          <t>Essential</t>
        </is>
      </c>
      <c r="E55" s="19" t="inlineStr"/>
    </row>
    <row r="56">
      <c r="A56" s="23" t="n">
        <v>12</v>
      </c>
      <c r="B56" s="30" t="n">
        <v>362</v>
      </c>
      <c r="C56" s="32" t="n">
        <v>281</v>
      </c>
      <c r="D56" s="33" t="inlineStr">
        <is>
          <t>Essential</t>
        </is>
      </c>
      <c r="E56" s="19" t="inlineStr"/>
    </row>
  </sheetData>
  <mergeCells count="7">
    <mergeCell ref="A29:E29"/>
    <mergeCell ref="A4:E4"/>
    <mergeCell ref="A2:E2"/>
    <mergeCell ref="A40:E40"/>
    <mergeCell ref="A49:E49"/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2026-05-06T21:22:36Z</dcterms:created>
  <dcterms:modified xsi:type="dcterms:W3CDTF">2026-05-06T21:22:36Z</dcterms:modified>
</cp:coreProperties>
</file>